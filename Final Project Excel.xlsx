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Kaushik Joshi\Downloads\"/>
    </mc:Choice>
  </mc:AlternateContent>
  <xr:revisionPtr revIDLastSave="0" documentId="13_ncr:1_{47660B82-1A9B-4F50-9C69-FDB84D957187}" xr6:coauthVersionLast="47" xr6:coauthVersionMax="47" xr10:uidLastSave="{00000000-0000-0000-0000-000000000000}"/>
  <bookViews>
    <workbookView xWindow="-108" yWindow="-108" windowWidth="16608" windowHeight="8832" tabRatio="832" firstSheet="2" activeTab="12" xr2:uid="{71D1D577-C11E-4EA4-98EE-EC9CC7F014DA}"/>
  </bookViews>
  <sheets>
    <sheet name="Raw Data" sheetId="1" r:id="rId1"/>
    <sheet name="Task 1" sheetId="11" r:id="rId2"/>
    <sheet name="Task 2" sheetId="13" r:id="rId3"/>
    <sheet name="Task 3" sheetId="12" r:id="rId4"/>
    <sheet name="Task 4" sheetId="14" r:id="rId5"/>
    <sheet name="Task 5" sheetId="15" r:id="rId6"/>
    <sheet name="Task 6" sheetId="6" r:id="rId7"/>
    <sheet name="Task 7" sheetId="2" r:id="rId8"/>
    <sheet name="Task 8" sheetId="16" r:id="rId9"/>
    <sheet name="Task 9" sheetId="17" r:id="rId10"/>
    <sheet name="Task 10" sheetId="19" r:id="rId11"/>
    <sheet name="Task 11" sheetId="18" r:id="rId12"/>
    <sheet name="Dashboard Task 12" sheetId="4" r:id="rId13"/>
    <sheet name="Task 13" sheetId="20" r:id="rId14"/>
    <sheet name="Pivot Table" sheetId="10" r:id="rId15"/>
  </sheets>
  <externalReferences>
    <externalReference r:id="rId16"/>
    <externalReference r:id="rId17"/>
  </externalReferences>
  <definedNames>
    <definedName name="_xlchart.v1.0" hidden="1">[2]Analysis!$A$10:$A$22</definedName>
    <definedName name="_xlchart.v1.1" hidden="1">[2]Analysis!$B$10:$B$22</definedName>
    <definedName name="_xlchart.v1.2" hidden="1">[2]Analysis!$B$9</definedName>
    <definedName name="NativeTimeline_Date">#N/A</definedName>
    <definedName name="Slicer_Payment_Method">#N/A</definedName>
    <definedName name="Slicer_Product_Name">#N/A</definedName>
    <definedName name="Slicer_Region">#N/A</definedName>
  </definedNames>
  <calcPr calcId="191029" iterate="1"/>
  <pivotCaches>
    <pivotCache cacheId="0" r:id="rId18"/>
  </pivotCaches>
  <extLst>
    <ext xmlns:x14="http://schemas.microsoft.com/office/spreadsheetml/2009/9/main" uri="{876F7934-8845-4945-9796-88D515C7AA90}">
      <x14:pivotCaches>
        <pivotCache cacheId="1"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9" l="1"/>
  <c r="C3" i="19" a="1"/>
  <c r="B3" i="18"/>
  <c r="B4" i="18"/>
  <c r="B5" i="18"/>
  <c r="B6" i="18"/>
  <c r="B7" i="18"/>
  <c r="B8" i="18"/>
  <c r="B9" i="18"/>
  <c r="B10" i="18"/>
  <c r="B11" i="18"/>
  <c r="B12" i="18"/>
  <c r="B13" i="18"/>
  <c r="B14" i="18"/>
  <c r="B15" i="18"/>
  <c r="A4" i="18"/>
  <c r="A5" i="18"/>
  <c r="A6" i="18"/>
  <c r="A7" i="18"/>
  <c r="A8" i="18"/>
  <c r="A9" i="18"/>
  <c r="A10" i="18"/>
  <c r="A11" i="18"/>
  <c r="A12" i="18"/>
  <c r="A13" i="18"/>
  <c r="A14" i="18"/>
  <c r="A15" i="18"/>
  <c r="A3" i="18"/>
  <c r="A3" i="17" l="1" a="1"/>
  <c r="C11" i="17" s="1"/>
  <c r="B10" i="16"/>
  <c r="B9" i="16"/>
  <c r="B8" i="16"/>
  <c r="B7" i="16"/>
  <c r="B3" i="16"/>
  <c r="E4" i="15"/>
  <c r="E9" i="15"/>
  <c r="E2" i="15"/>
  <c r="B8" i="15"/>
  <c r="B3" i="13" a="1"/>
  <c r="B3" i="13" s="1"/>
  <c r="A3" i="13" a="1"/>
  <c r="A3" i="13" s="1"/>
  <c r="B2" i="11"/>
  <c r="D2" i="11"/>
  <c r="C2" i="11"/>
  <c r="B3" i="4"/>
  <c r="H3" i="4"/>
  <c r="F3" i="4"/>
  <c r="D3" i="4"/>
  <c r="B5" i="2"/>
  <c r="B6" i="2"/>
  <c r="B7" i="2"/>
  <c r="B8" i="2"/>
  <c r="B9" i="2"/>
  <c r="B10" i="2"/>
  <c r="B11" i="2"/>
  <c r="B12" i="2"/>
  <c r="B13" i="2"/>
  <c r="B14" i="2"/>
  <c r="B15" i="2"/>
  <c r="B16" i="2"/>
  <c r="B4" i="2"/>
  <c r="E6" i="2"/>
  <c r="E7" i="2"/>
  <c r="E8" i="2"/>
  <c r="E5" i="2"/>
  <c r="C6" i="17" l="1"/>
  <c r="B9" i="17"/>
  <c r="B4" i="17"/>
  <c r="B12" i="17"/>
  <c r="C4" i="17"/>
  <c r="C12" i="17"/>
  <c r="B5" i="17"/>
  <c r="C5" i="17"/>
  <c r="B6" i="17"/>
  <c r="B7" i="17"/>
  <c r="C7" i="17"/>
  <c r="B8" i="17"/>
  <c r="C8" i="17"/>
  <c r="C9" i="17"/>
  <c r="A3" i="17"/>
  <c r="B10" i="17"/>
  <c r="C10" i="17"/>
  <c r="B11" i="17"/>
  <c r="E2" i="11"/>
  <c r="C3" i="17" l="1"/>
  <c r="B3" i="17"/>
  <c r="A2"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<sst xmlns="http://schemas.openxmlformats.org/spreadsheetml/2006/main" count="2418" uniqueCount="513">
  <si>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</si>
  <si>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</si>
  <si>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</si>
  <si>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</si>
  <si>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</si>
  <si>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</si>
  <si>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</si>
  <si>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</si>
  <si>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</si>
  <si>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</si>
  <si>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</si>
  <si>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</si>
  <si>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</si>
  <si>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</si>
  <si>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</si>
  <si>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</si>
  <si>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</si>
  <si>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</si>
  <si>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</si>
  <si>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</si>
  <si>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</si>
  <si>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</si>
  <si>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</si>
  <si>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</si>
  <si>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</si>
  <si>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</si>
  <si>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</si>
  <si>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</si>
  <si>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</si>
  <si>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</si>
  <si>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</si>
  <si>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</si>
  <si>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</si>
  <si>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</si>
  <si>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</si>
  <si>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</si>
  <si>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</si>
  <si>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</si>
  <si>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</si>
  <si>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</si>
  <si>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</si>
  <si>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</si>
  <si>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</si>
  <si>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</si>
  <si>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</si>
  <si>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</si>
  <si>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</si>
  <si>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</si>
  <si>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</si>
  <si>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</si>
  <si>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</si>
  <si>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</si>
  <si>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</si>
  <si>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</si>
  <si>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</si>
  <si>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</si>
  <si>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</si>
  <si>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</si>
  <si>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</si>
  <si>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</si>
  <si>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</si>
  <si>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</si>
  <si>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</si>
  <si>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</si>
  <si>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</si>
  <si>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</si>
  <si>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</si>
  <si>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</si>
  <si>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</si>
  <si>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</si>
  <si>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</si>
  <si>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</si>
  <si>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</si>
  <si>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</si>
  <si>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</si>
  <si>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</si>
  <si>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</si>
  <si>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</si>
  <si>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</si>
  <si>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</si>
  <si>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</si>
  <si>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</si>
  <si>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</si>
  <si>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</si>
  <si>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</si>
  <si>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</si>
  <si>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</si>
  <si>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</si>
  <si>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</si>
  <si>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</si>
  <si>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</si>
  <si>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</si>
  <si>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</si>
  <si>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</si>
  <si>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</si>
  <si>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</si>
  <si>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</si>
  <si>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</si>
  <si>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</si>
  <si>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</si>
  <si>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</si>
  <si>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</si>
  <si>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</si>
  <si>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</si>
  <si>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</si>
  <si>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</si>
  <si>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</si>
  <si>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</si>
  <si>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</si>
  <si>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</si>
  <si>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</si>
  <si>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</si>
  <si>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</si>
  <si>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</si>
  <si>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</si>
  <si>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</si>
  <si>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</si>
  <si>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</si>
  <si>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</si>
  <si>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</si>
  <si>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</si>
  <si>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</si>
  <si>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</si>
  <si>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</si>
  <si>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</si>
  <si>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</si>
  <si>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</si>
  <si>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</si>
  <si>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</si>
  <si>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</si>
  <si>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</si>
  <si>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</si>
  <si>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</si>
  <si>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</si>
  <si>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</si>
  <si>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</si>
  <si>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</si>
  <si>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</si>
  <si>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</si>
  <si>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</si>
  <si>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</si>
  <si>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</si>
  <si>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</si>
  <si>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</si>
  <si>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</si>
  <si>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</si>
  <si>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</si>
  <si>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</si>
  <si>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</si>
  <si>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</si>
  <si>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</si>
  <si>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</si>
  <si>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</si>
  <si>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</si>
  <si>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</si>
  <si>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</si>
  <si>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</si>
  <si>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</si>
  <si>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</si>
  <si>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</si>
  <si>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</si>
  <si>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</si>
  <si>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</si>
  <si>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</si>
  <si>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</si>
  <si>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</si>
  <si>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</si>
  <si>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</si>
  <si>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</si>
  <si>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</si>
  <si>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</si>
  <si>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</si>
  <si>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</si>
  <si>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</si>
  <si>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</si>
  <si>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</si>
  <si>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</si>
  <si>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</si>
  <si>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</si>
  <si>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</si>
  <si>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</si>
  <si>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</si>
  <si>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</si>
  <si>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</si>
  <si>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</si>
  <si>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</si>
  <si>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</si>
  <si>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</si>
  <si>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</si>
  <si>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</si>
  <si>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</si>
  <si>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</si>
  <si>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</si>
  <si>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</si>
  <si>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</si>
  <si>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</si>
  <si>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</si>
  <si>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</si>
  <si>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</si>
  <si>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</si>
  <si>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</si>
  <si>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</si>
  <si>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</si>
  <si>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</si>
  <si>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</si>
  <si>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</si>
  <si>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</si>
  <si>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</si>
  <si>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</si>
  <si>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</si>
  <si>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</si>
  <si>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</si>
  <si>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</si>
  <si>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</si>
  <si>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</si>
  <si>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</si>
  <si>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</si>
  <si>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</si>
  <si>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</si>
  <si>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</si>
  <si>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</si>
  <si>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</si>
  <si>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</si>
  <si>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</si>
  <si>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</si>
  <si>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</si>
  <si>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</si>
  <si>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</si>
  <si>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</si>
  <si>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</si>
  <si>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</si>
  <si>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</si>
  <si>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</si>
  <si>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</si>
  <si>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</si>
  <si>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</si>
  <si>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</si>
  <si>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</si>
  <si>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</si>
  <si>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</si>
  <si>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</si>
  <si>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</si>
  <si>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</si>
  <si>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</si>
  <si>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</si>
  <si>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</si>
  <si>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</si>
  <si>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</si>
  <si>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</si>
  <si>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</si>
  <si>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</si>
  <si>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</si>
  <si>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</si>
  <si>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</si>
  <si>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</si>
  <si>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</si>
  <si>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</si>
  <si>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</si>
  <si>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</si>
  <si>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</si>
  <si>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</si>
  <si>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</si>
  <si>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</si>
  <si>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</si>
  <si>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</si>
  <si>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</si>
  <si>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</si>
  <si>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</si>
  <si>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</si>
  <si>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</si>
  <si>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</si>
  <si>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</si>
  <si>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</si>
  <si>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</si>
  <si>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</si>
  <si>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</si>
  <si>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</si>
  <si>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</si>
  <si>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</si>
  <si>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</si>
  <si>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</si>
  <si>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</si>
  <si>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</si>
  <si>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</si>
  <si>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</si>
  <si>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</si>
  <si>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</si>
  <si>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</si>
  <si>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</si>
  <si>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</si>
  <si>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</si>
  <si>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</si>
  <si>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</si>
  <si>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</si>
  <si>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</si>
  <si>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</si>
  <si>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</si>
  <si>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</si>
  <si>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</si>
  <si>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</si>
  <si>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</si>
  <si>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</si>
  <si>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</si>
  <si>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</si>
  <si>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</si>
  <si>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</si>
  <si>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</si>
  <si>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</si>
  <si>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</si>
  <si>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</si>
  <si>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</si>
  <si>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</si>
  <si>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</si>
  <si>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</si>
  <si>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</si>
  <si>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</si>
  <si>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</si>
  <si>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</si>
  <si>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</si>
  <si>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</si>
  <si>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</si>
  <si>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</si>
  <si>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</si>
  <si>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</si>
  <si>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</si>
  <si>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</si>
  <si>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</si>
  <si>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</si>
  <si>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</si>
  <si>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</si>
  <si>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</si>
  <si>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</si>
  <si>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</si>
  <si>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</si>
  <si>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</si>
  <si>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</si>
  <si>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</si>
  <si>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</si>
  <si>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</si>
  <si>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</si>
  <si>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</si>
  <si>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</si>
  <si>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</si>
  <si>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</si>
  <si>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</si>
  <si>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</si>
  <si>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</si>
  <si>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</si>
  <si>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</si>
  <si>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</si>
  <si>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</si>
  <si>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</si>
  <si>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</si>
  <si>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</si>
  <si>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</si>
  <si>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</si>
  <si>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</si>
  <si>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</si>
  <si>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</si>
  <si>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</si>
  <si>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</si>
  <si>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</si>
  <si>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</si>
  <si>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</si>
  <si>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</si>
  <si>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</si>
  <si>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</si>
  <si>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</si>
  <si>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</si>
  <si>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</si>
  <si>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</si>
  <si>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</si>
  <si>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</si>
  <si>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</si>
  <si>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</si>
  <si>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</si>
  <si>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</si>
  <si>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</si>
  <si>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</si>
  <si>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</si>
  <si>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</si>
  <si>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</si>
  <si>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</si>
  <si>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</si>
  <si>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</si>
  <si>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</si>
  <si>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</si>
  <si>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</si>
  <si>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</si>
  <si>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</si>
  <si>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</si>
  <si>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</si>
  <si>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</si>
  <si>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</si>
  <si>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</si>
  <si>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</si>
  <si>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</si>
  <si>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</si>
  <si>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</si>
  <si>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</si>
  <si>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Current Date Time</t>
  </si>
  <si>
    <t>Customer Tenure</t>
  </si>
  <si>
    <t>Customer Months</t>
  </si>
  <si>
    <t>Month End</t>
  </si>
  <si>
    <t>Sales Performance Analysis</t>
  </si>
  <si>
    <t>Total Revenue</t>
  </si>
  <si>
    <t>Total Transactions</t>
  </si>
  <si>
    <t>Scenario</t>
  </si>
  <si>
    <t>Revenue</t>
  </si>
  <si>
    <t>Normal</t>
  </si>
  <si>
    <t>High Sales</t>
  </si>
  <si>
    <t>Low Sales</t>
  </si>
  <si>
    <t>Average Transaction Amount</t>
  </si>
  <si>
    <t>Number of Transactions</t>
  </si>
  <si>
    <t>Projected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</si>
  <si>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</si>
  <si>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</si>
  <si>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</si>
  <si>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</si>
  <si>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</si>
  <si>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</si>
  <si>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</si>
  <si>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</si>
  <si>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</si>
  <si>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</si>
  <si>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</si>
  <si>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</si>
  <si>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</si>
  <si>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</si>
  <si>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</si>
  <si>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</si>
  <si>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</si>
  <si>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</si>
  <si>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</si>
  <si>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</si>
  <si>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</si>
  <si>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</si>
  <si>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</si>
  <si>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</si>
  <si>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Customer ID</t>
  </si>
  <si>
    <t>Total Amount</t>
  </si>
  <si>
    <t>High-Value Customers</t>
  </si>
  <si>
    <t>Total Customers</t>
  </si>
  <si>
    <t>Product Analysis</t>
  </si>
  <si>
    <t>Product Name</t>
  </si>
  <si>
    <t>Region Analysis</t>
  </si>
  <si>
    <t>Sum of Total_Amount</t>
  </si>
  <si>
    <t>Sum of Quantity</t>
  </si>
  <si>
    <t>Count of Transaction_ID</t>
  </si>
  <si>
    <t>Count of Customer_ID</t>
  </si>
  <si>
    <t>Month</t>
  </si>
  <si>
    <t>Monthly Revenue</t>
  </si>
  <si>
    <t>Total Quantity</t>
  </si>
  <si>
    <t>Sales Performance Dashboard</t>
  </si>
  <si>
    <t>Column1</t>
  </si>
  <si>
    <t>FILTER – High Value Customers</t>
  </si>
  <si>
    <t>Customer Name</t>
  </si>
  <si>
    <t>Total Purchase</t>
  </si>
  <si>
    <t>Most Frequently Purchased Product</t>
  </si>
  <si>
    <t>Purchase Count</t>
  </si>
  <si>
    <t>Timestamp</t>
  </si>
  <si>
    <t>Goal Seek Analysis</t>
  </si>
  <si>
    <t>Current Average Sale</t>
  </si>
  <si>
    <t>Target Average Sale</t>
  </si>
  <si>
    <t>Required Unit Price</t>
  </si>
  <si>
    <t>Goal Seek – Target Revenue</t>
  </si>
  <si>
    <t>Unit Price</t>
  </si>
  <si>
    <t>Expected Amount</t>
  </si>
  <si>
    <t>Abbreviations</t>
  </si>
  <si>
    <t>Abbreviation</t>
  </si>
  <si>
    <t>Compare Two Lists</t>
  </si>
  <si>
    <t>List 1</t>
  </si>
  <si>
    <t>List 2</t>
  </si>
  <si>
    <t>Matching Names</t>
  </si>
  <si>
    <t>FINAL SALES REPORT — INSIGHTS &amp; STORYTELLING</t>
  </si>
  <si>
    <t>Sales performance review based on 250 transactions and 50 customers</t>
  </si>
  <si>
    <t>Transactions</t>
  </si>
  <si>
    <t>Units Sold</t>
  </si>
  <si>
    <t>₹229,192.47</t>
  </si>
  <si>
    <t>250</t>
  </si>
  <si>
    <t>753</t>
  </si>
  <si>
    <t>Customers</t>
  </si>
  <si>
    <t>Avg Transaction</t>
  </si>
  <si>
    <t>Avg Basket</t>
  </si>
  <si>
    <t>50</t>
  </si>
  <si>
    <t>₹916.77</t>
  </si>
  <si>
    <t>3.01 units</t>
  </si>
  <si>
    <t>EXECUTIVE STORY</t>
  </si>
  <si>
    <t>The business generated ₹229,192.47 from 250 transactions, selling 753 units to 50 customers. Revenue is concentrated in premium electronics: laptops and smartphones together generated ₹134,698.29, or 58.7% of total revenue. The strongest market was East, while the largest customer was CUST025. The opportunity is to protect the electronics core, retain high-value customers, and use volume products for cross-selling.</t>
  </si>
  <si>
    <t>KEY INSIGHTS</t>
  </si>
  <si>
    <t>Product concentration</t>
  </si>
  <si>
    <t>Laptop revenue was ₹67,499.25 and smartphone revenue was ₹67,199.04. Together they account for approximately 58.7% of sales.</t>
  </si>
  <si>
    <t>Regional performance</t>
  </si>
  <si>
    <t>East led with ₹59,288.39, followed by North at ₹50,808.31. South was lowest at ₹36,398.75.</t>
  </si>
  <si>
    <t>Customer concentration</t>
  </si>
  <si>
    <t>CUST025 was the highest-value customer at ₹15,659.65, representing approximately 6.8% of total revenue.</t>
  </si>
  <si>
    <t>Seasonality</t>
  </si>
  <si>
    <t>January 2025 was the strongest month at ₹25,799.15; April 2025 was the weakest at ₹6,979.83.</t>
  </si>
  <si>
    <t>Volume opportunity</t>
  </si>
  <si>
    <t>Bookshelf led purchase frequency with 35 purchases and 102 units, making it a useful cross-selling product.</t>
  </si>
  <si>
    <t>RECOMMENDED ACTIONS</t>
  </si>
  <si>
    <t>1.</t>
  </si>
  <si>
    <t>Protect laptop and smartphone inventory and visibility.</t>
  </si>
  <si>
    <t>2.</t>
  </si>
  <si>
    <t>Create bundles: laptops with keyboards, monitors, headphones, or office chairs.</t>
  </si>
  <si>
    <t>3.</t>
  </si>
  <si>
    <t>Launch VIP retention offers for CUST025 and other repeat high-value customers.</t>
  </si>
  <si>
    <t>4.</t>
  </si>
  <si>
    <t>Replicate East-region tactics in North and West; investigate the South-region gap.</t>
  </si>
  <si>
    <t>5.</t>
  </si>
  <si>
    <t>Plan targeted promotions before April-type slowdowns and track monthly performance.</t>
  </si>
  <si>
    <t>MANAGEMENT TAKEAWAY</t>
  </si>
  <si>
    <t>The company has a strong premium-product engine, but performance is concentrated. Sustainable growth will come from combining reliable electronics availability with customer retention, regional expansion, seasonal planning, and cross-selling.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</si>
</sst>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39]#,##0.00"/>
    <numFmt numFmtId="165" formatCode="[$₹-4009]\ #,##0.00"/>
    <numFmt numFmtId="166" formatCode="[$-409]d\-mmm\-yyyy;@"/>
    <numFmt numFmtId="167" formatCode="[$₹-445]\ #,##0.00"/>
    <numFmt numFmtId="168" formatCode="[$-F400]h:mm:ss\ AM/PM"/>
    <numFmt numFmtId="169" formatCode="[$₹-460]\ #,##0.00"/>
    <numFmt numFmtId="170" formatCode="[$₹-457]\ #,##0.00"/>
  </numFmts>
  <fonts count="24">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10"/>
      <color theme="1"/>
      <name val="Arial Unicode MS"/>
    </font>
    <font>
      <b/>
      <sz val="16"/>
      <color theme="1"/>
      <name val="Aptos Narrow"/>
      <family val="2"/>
      <scheme val="minor"/>
    </font>
    <font>
      <b/>
      <sz val="10"/>
      <color theme="1"/>
      <name val="Arial Unicode MS"/>
    </font>
    <font>
      <b/>
      <sz val="16"/>
      <color theme="0"/>
      <name val="Aptos Narrow"/>
      <family val="2"/>
      <scheme val="minor"/>
    </font>
    <font>
      <b/>
      <sz val="18"/>
      <color rgb="FFFFFFFF"/>
      <name val="Aptos Narrow"/>
    </font>
    <font>
      <i/>
      <sz val="11"/>
      <color rgb="FF666666"/>
      <name val="Aptos Narrow"/>
    </font>
    <font>
      <b/>
      <sz val="11"/>
      <color rgb="FFFFFFFF"/>
      <name val="Aptos Narrow"/>
    </font>
    <font>
      <b/>
      <sz val="14"/>
      <color rgb="FF1F4E78"/>
      <name val="Aptos Narrow"/>
    </font>
    <font>
      <b/>
      <sz val="13"/>
      <color rgb="FFFFFFFF"/>
      <name val="Aptos Narrow"/>
    </font>
    <font>
      <b/>
      <sz val="11"/>
      <color rgb="FF1F4E78"/>
      <name val="Aptos Narrow"/>
    </font>
    <font>
      <sz val="11"/>
      <color rgb="FFFF0000"/>
      <name val="Aptos Narrow"/>
      <family val="2"/>
      <scheme val="minor"/>
    </font>
    <font>
      <sz val="11"/>
      <color theme="1"/>
      <name val="Agency FB"/>
      <family val="2"/>
    </font>
    <font>
      <b/>
      <sz val="11"/>
      <color theme="1"/>
      <name val="Algerian"/>
      <family val="5"/>
    </font>
    <font>
      <b/>
      <sz val="14"/>
      <color theme="4" tint="-0.249977111117893"/>
      <name val="Algerian"/>
      <family val="5"/>
    </font>
    <font>
      <b/>
      <sz val="11"/>
      <color theme="1"/>
      <name val="Bodoni MT"/>
      <family val="1"/>
    </font>
    <font>
      <b/>
      <sz val="11"/>
      <color rgb="FFFF0000"/>
      <name val="Aptos Narrow"/>
      <family val="2"/>
      <scheme val="minor"/>
    </font>
    <font>
      <b/>
      <sz val="18"/>
      <color rgb="FFFFFF00"/>
      <name val="Aptos Narrow"/>
      <family val="2"/>
      <scheme val="minor"/>
    </font>
    <font>
      <b/>
      <sz val="10"/>
      <color theme="1"/>
      <name val="Algerian"/>
      <family val="5"/>
    </font>
    <font>
      <b/>
      <sz val="14"/>
      <color theme="1"/>
      <name val="Algerian"/>
      <family val="5"/>
    </font>
  </fonts>
  <fills count="14">
    <fill>
      <patternFill patternType="none"/>
    </fill>
    <fill>
      <patternFill patternType="gray125"/>
    </fill>
    <fill>
      <patternFill patternType="solid">
        <fgColor rgb="FF92D050"/>
        <bgColor indexed="64"/>
      </patternFill>
    </fill>
    <fill>
      <patternFill patternType="solid">
        <fgColor rgb="FFAAE571"/>
        <bgColor indexed="64"/>
      </patternFill>
    </fill>
    <fill>
      <patternFill patternType="solid">
        <fgColor theme="3" tint="0.249977111117893"/>
        <bgColor indexed="64"/>
      </patternFill>
    </fill>
    <fill>
      <patternFill patternType="solid">
        <fgColor rgb="FF1F4E78"/>
      </patternFill>
    </fill>
    <fill>
      <patternFill patternType="solid">
        <fgColor rgb="FFD9EAF7"/>
      </patternFill>
    </fill>
    <fill>
      <patternFill patternType="solid">
        <fgColor rgb="FFF3F6F9"/>
      </patternFill>
    </fill>
    <fill>
      <patternFill patternType="solid">
        <fgColor rgb="FFFFF2CC"/>
      </patternFill>
    </fill>
    <fill>
      <patternFill patternType="solid">
        <fgColor rgb="FFE2F0D9"/>
      </patternFill>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2"/>
        <bgColor theme="4" tint="0.79998168889431442"/>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D9E2F3"/>
      </bottom>
      <diagonal/>
    </border>
  </borders>
  <cellStyleXfs count="1">
    <xf numFmtId="0" fontId="0" fillId="0" borderId="0"/>
  </cellStyleXfs>
  <cellXfs count="87">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22" fontId="0" fillId="0" borderId="0" xfId="0" applyNumberFormat="1" applyAlignment="1">
      <alignment horizontal="center" vertical="center"/>
    </xf>
    <xf numFmtId="164" fontId="3" fillId="0" borderId="1" xfId="0" applyNumberFormat="1" applyFont="1" applyBorder="1" applyAlignment="1">
      <alignment horizontal="center" vertical="center" wrapText="1"/>
    </xf>
    <xf numFmtId="164" fontId="3" fillId="0" borderId="8"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8" xfId="0" applyNumberFormat="1" applyFont="1" applyBorder="1" applyAlignment="1">
      <alignment horizontal="center" vertical="center" wrapText="1"/>
    </xf>
    <xf numFmtId="166" fontId="0" fillId="0" borderId="0" xfId="0" applyNumberFormat="1" applyAlignment="1">
      <alignment horizontal="center" vertical="center"/>
    </xf>
    <xf numFmtId="2" fontId="2" fillId="0" borderId="5"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3" fillId="0" borderId="8" xfId="0" applyNumberFormat="1" applyFont="1" applyBorder="1" applyAlignment="1">
      <alignment horizontal="center" vertical="center" wrapText="1"/>
    </xf>
    <xf numFmtId="2" fontId="0" fillId="0" borderId="0" xfId="0" applyNumberFormat="1" applyAlignment="1">
      <alignment horizontal="center" vertical="center"/>
    </xf>
    <xf numFmtId="165" fontId="0" fillId="0" borderId="0" xfId="0" applyNumberFormat="1"/>
    <xf numFmtId="0" fontId="0" fillId="0" borderId="10" xfId="0" applyBorder="1"/>
    <xf numFmtId="0" fontId="4" fillId="0" borderId="12" xfId="0" applyFont="1" applyBorder="1" applyAlignment="1">
      <alignment horizontal="center"/>
    </xf>
    <xf numFmtId="0" fontId="4" fillId="0" borderId="12" xfId="0" applyFont="1" applyBorder="1" applyAlignment="1">
      <alignment horizontal="centerContinuous"/>
    </xf>
    <xf numFmtId="0" fontId="0" fillId="0" borderId="0" xfId="0" applyAlignment="1">
      <alignment vertical="center"/>
    </xf>
    <xf numFmtId="0" fontId="0" fillId="0" borderId="0" xfId="0" applyAlignment="1">
      <alignment horizontal="center" vertical="center" wrapText="1"/>
    </xf>
    <xf numFmtId="165" fontId="0" fillId="0" borderId="0" xfId="0" applyNumberFormat="1" applyAlignment="1">
      <alignment horizontal="center" vertical="center"/>
    </xf>
    <xf numFmtId="165" fontId="5" fillId="0" borderId="0" xfId="0" applyNumberFormat="1" applyFont="1" applyAlignment="1">
      <alignment horizontal="center" vertical="center" wrapText="1"/>
    </xf>
    <xf numFmtId="2" fontId="0" fillId="0" borderId="0" xfId="0" applyNumberFormat="1"/>
    <xf numFmtId="167" fontId="0" fillId="0" borderId="0" xfId="0" applyNumberFormat="1" applyAlignment="1">
      <alignment horizontal="center" vertical="center"/>
    </xf>
    <xf numFmtId="0" fontId="0" fillId="0" borderId="0" xfId="0" applyAlignment="1">
      <alignment horizontal="center"/>
    </xf>
    <xf numFmtId="17" fontId="0" fillId="0" borderId="0" xfId="0" applyNumberFormat="1" applyAlignment="1">
      <alignment horizontal="center" vertical="center"/>
    </xf>
    <xf numFmtId="0" fontId="0" fillId="0" borderId="11" xfId="0" applyBorder="1" applyAlignment="1">
      <alignment horizontal="center" vertical="center"/>
    </xf>
    <xf numFmtId="165" fontId="0" fillId="0" borderId="13" xfId="0" applyNumberFormat="1" applyBorder="1" applyAlignment="1">
      <alignment horizontal="center" vertical="center"/>
    </xf>
    <xf numFmtId="2" fontId="0" fillId="0" borderId="13" xfId="0" applyNumberFormat="1" applyBorder="1" applyAlignment="1">
      <alignment horizontal="center" vertical="center"/>
    </xf>
    <xf numFmtId="0" fontId="2" fillId="0" borderId="5" xfId="0" applyFont="1" applyBorder="1" applyAlignment="1">
      <alignment horizontal="center" vertical="center"/>
    </xf>
    <xf numFmtId="0" fontId="0" fillId="3" borderId="14" xfId="0" applyFill="1" applyBorder="1" applyAlignment="1">
      <alignment horizontal="center" vertical="center"/>
    </xf>
    <xf numFmtId="2" fontId="0" fillId="3" borderId="14" xfId="0" applyNumberFormat="1" applyFill="1" applyBorder="1" applyAlignment="1">
      <alignment horizontal="center" vertical="center"/>
    </xf>
    <xf numFmtId="169" fontId="5" fillId="3" borderId="14" xfId="0" applyNumberFormat="1" applyFont="1" applyFill="1" applyBorder="1" applyAlignment="1">
      <alignment horizontal="center" vertical="center" wrapText="1"/>
    </xf>
    <xf numFmtId="170" fontId="0" fillId="3" borderId="14" xfId="0" applyNumberFormat="1" applyFill="1" applyBorder="1" applyAlignment="1">
      <alignment horizontal="center" vertical="center"/>
    </xf>
    <xf numFmtId="0" fontId="6" fillId="0" borderId="0" xfId="0" applyFont="1" applyAlignment="1">
      <alignment vertical="center"/>
    </xf>
    <xf numFmtId="0" fontId="0" fillId="0" borderId="15" xfId="0" applyBorder="1"/>
    <xf numFmtId="0" fontId="14" fillId="8" borderId="15" xfId="0" applyFont="1" applyFill="1" applyBorder="1"/>
    <xf numFmtId="0" fontId="14" fillId="0" borderId="15" xfId="0" applyFont="1" applyBorder="1"/>
    <xf numFmtId="0" fontId="0" fillId="0" borderId="0" xfId="0" applyAlignment="1">
      <alignment horizontal="center" vertical="center"/>
    </xf>
    <xf numFmtId="0" fontId="8" fillId="4" borderId="0" xfId="0" applyFont="1" applyFill="1" applyAlignment="1">
      <alignment horizontal="center" vertical="center"/>
    </xf>
    <xf numFmtId="0" fontId="12" fillId="6" borderId="15" xfId="0" applyFont="1" applyFill="1" applyBorder="1" applyAlignment="1">
      <alignment horizontal="center"/>
    </xf>
    <xf numFmtId="0" fontId="0" fillId="0" borderId="15" xfId="0" applyBorder="1" applyAlignment="1">
      <alignment horizontal="center"/>
    </xf>
    <xf numFmtId="0" fontId="9" fillId="5" borderId="15" xfId="0" applyFont="1" applyFill="1" applyBorder="1" applyAlignment="1">
      <alignment horizontal="center"/>
    </xf>
    <xf numFmtId="0" fontId="0" fillId="0" borderId="15" xfId="0" applyBorder="1"/>
    <xf numFmtId="0" fontId="10" fillId="0" borderId="15" xfId="0" applyFont="1" applyBorder="1" applyAlignment="1">
      <alignment horizontal="center"/>
    </xf>
    <xf numFmtId="0" fontId="11" fillId="5" borderId="15" xfId="0" applyFont="1" applyFill="1" applyBorder="1" applyAlignment="1">
      <alignment horizontal="center"/>
    </xf>
    <xf numFmtId="0" fontId="0" fillId="7" borderId="15" xfId="0" applyFill="1" applyBorder="1" applyAlignment="1">
      <alignment wrapText="1"/>
    </xf>
    <xf numFmtId="0" fontId="13" fillId="5" borderId="15" xfId="0" applyFont="1" applyFill="1" applyBorder="1"/>
    <xf numFmtId="0" fontId="0" fillId="7" borderId="15" xfId="0" applyFill="1" applyBorder="1" applyAlignment="1">
      <alignment vertical="top" wrapText="1"/>
    </xf>
    <xf numFmtId="0" fontId="0" fillId="9" borderId="15" xfId="0" applyFill="1" applyBorder="1" applyAlignment="1">
      <alignment wrapText="1"/>
    </xf>
    <xf numFmtId="0" fontId="16" fillId="0" borderId="0" xfId="0" applyFont="1" applyAlignment="1">
      <alignment horizontal="center" vertical="center"/>
    </xf>
    <xf numFmtId="0" fontId="0" fillId="10" borderId="0" xfId="0" applyFill="1" applyAlignment="1">
      <alignment horizontal="center" vertical="center"/>
    </xf>
    <xf numFmtId="166" fontId="0" fillId="10" borderId="0" xfId="0" applyNumberFormat="1" applyFill="1" applyAlignment="1">
      <alignment horizontal="center" vertical="center"/>
    </xf>
    <xf numFmtId="22" fontId="0" fillId="10" borderId="0" xfId="0" applyNumberFormat="1" applyFill="1" applyAlignment="1">
      <alignment horizontal="center" vertical="center"/>
    </xf>
    <xf numFmtId="0" fontId="1" fillId="10" borderId="14" xfId="0" applyFont="1" applyFill="1" applyBorder="1" applyAlignment="1">
      <alignment horizontal="center" vertical="center"/>
    </xf>
    <xf numFmtId="0" fontId="17" fillId="10" borderId="14" xfId="0" applyFont="1" applyFill="1" applyBorder="1" applyAlignment="1">
      <alignment horizontal="center" vertical="center"/>
    </xf>
    <xf numFmtId="0" fontId="18" fillId="11" borderId="14" xfId="0" applyFont="1" applyFill="1" applyBorder="1" applyAlignment="1">
      <alignment horizontal="center" vertical="center"/>
    </xf>
    <xf numFmtId="0" fontId="0" fillId="11" borderId="14" xfId="0" applyFill="1" applyBorder="1" applyAlignment="1">
      <alignment horizontal="center" vertical="center"/>
    </xf>
    <xf numFmtId="165" fontId="0" fillId="11" borderId="14" xfId="0" applyNumberFormat="1" applyFill="1" applyBorder="1" applyAlignment="1">
      <alignment horizontal="center" vertical="center"/>
    </xf>
    <xf numFmtId="0" fontId="19" fillId="0" borderId="6" xfId="0" applyFont="1" applyBorder="1" applyAlignment="1">
      <alignment horizontal="center" vertical="center" wrapText="1"/>
    </xf>
    <xf numFmtId="168" fontId="15" fillId="0" borderId="14" xfId="0" applyNumberFormat="1" applyFont="1" applyBorder="1"/>
    <xf numFmtId="0" fontId="0" fillId="0" borderId="14" xfId="0" applyFont="1" applyBorder="1"/>
    <xf numFmtId="0" fontId="0" fillId="3" borderId="14" xfId="0" applyFont="1" applyFill="1" applyBorder="1" applyAlignment="1">
      <alignment horizontal="center" vertical="center"/>
    </xf>
    <xf numFmtId="169" fontId="0" fillId="3" borderId="14" xfId="0" applyNumberFormat="1" applyFont="1" applyFill="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0" fillId="0" borderId="0" xfId="0" applyFont="1" applyAlignment="1">
      <alignment horizontal="center" vertical="center"/>
    </xf>
    <xf numFmtId="165" fontId="0" fillId="0" borderId="0" xfId="0" applyNumberFormat="1" applyFont="1" applyAlignment="1">
      <alignment horizontal="center" vertical="center"/>
    </xf>
    <xf numFmtId="0" fontId="20" fillId="0" borderId="14" xfId="0" applyFont="1" applyBorder="1" applyAlignment="1">
      <alignment horizontal="center" vertical="center"/>
    </xf>
    <xf numFmtId="0" fontId="21" fillId="2" borderId="0" xfId="0" applyFont="1" applyFill="1" applyAlignment="1">
      <alignment horizontal="center" vertical="center"/>
    </xf>
    <xf numFmtId="0" fontId="1" fillId="12" borderId="14" xfId="0" applyFont="1" applyFill="1" applyBorder="1" applyAlignment="1">
      <alignment horizontal="center" vertical="center" wrapText="1"/>
    </xf>
    <xf numFmtId="0" fontId="1" fillId="12" borderId="14" xfId="0" applyFont="1" applyFill="1" applyBorder="1" applyAlignment="1">
      <alignment horizontal="center" vertical="center"/>
    </xf>
    <xf numFmtId="0" fontId="0" fillId="12" borderId="14" xfId="0" applyFill="1" applyBorder="1" applyAlignment="1">
      <alignment horizontal="center" vertical="center"/>
    </xf>
    <xf numFmtId="2" fontId="0" fillId="12" borderId="14" xfId="0" applyNumberFormat="1" applyFill="1" applyBorder="1" applyAlignment="1">
      <alignment horizontal="center" vertical="center"/>
    </xf>
    <xf numFmtId="0" fontId="7" fillId="12" borderId="14"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0" fillId="12" borderId="14" xfId="0" applyFont="1" applyFill="1" applyBorder="1" applyAlignment="1">
      <alignment horizontal="center" vertical="center"/>
    </xf>
    <xf numFmtId="0" fontId="22" fillId="10" borderId="14" xfId="0" applyFont="1" applyFill="1" applyBorder="1" applyAlignment="1">
      <alignment horizontal="center" vertical="center" wrapText="1"/>
    </xf>
    <xf numFmtId="0" fontId="23" fillId="12" borderId="14" xfId="0" applyFont="1" applyFill="1" applyBorder="1" applyAlignment="1">
      <alignment horizontal="center" vertical="center"/>
    </xf>
  </cellXfs>
  <cellStyles count="1">
    <cellStyle name="Normal" xfId="0" builtinId="0"/>
  </cellStyles>
  <dxfs count="69">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1"/>
        <color rgb="FFFF0000"/>
        <name val="Aptos Narrow"/>
        <family val="2"/>
        <scheme val="minor"/>
      </font>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numFmt numFmtId="27" formatCode="m/d/yyyy\ h:mm"/>
      <fill>
        <patternFill patternType="solid">
          <fgColor indexed="64"/>
          <bgColor rgb="FFFFFF00"/>
        </patternFill>
      </fill>
      <alignment horizontal="center" vertical="center" textRotation="0" wrapText="0" indent="0" justifyLastLine="0" shrinkToFit="0" readingOrder="0"/>
    </dxf>
    <dxf>
      <numFmt numFmtId="166" formatCode="[$-409]d\-mmm\-yyyy;@"/>
      <fill>
        <patternFill patternType="solid">
          <fgColor indexed="64"/>
          <bgColor rgb="FFFFFF00"/>
        </patternFill>
      </fill>
      <alignment horizontal="center" vertical="center" textRotation="0" wrapText="0" indent="0" justifyLastLine="0" shrinkToFit="0" readingOrder="0"/>
    </dxf>
    <dxf>
      <numFmt numFmtId="166" formatCode="[$-409]d\-mmm\-yyyy;@"/>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4009]\ #,##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7" formatCode="[$₹-445]\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
      <numFmt numFmtId="165" formatCode="[$₹-4009]\ #,##0.00"/>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4009]\ #,##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439]#,##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s>
    <c:plotArea>
      <c:layout/>
      <c:doughnutChart>
        <c:varyColors val="1"/>
        <c:ser>
          <c:idx val="0"/>
          <c:order val="0"/>
          <c:tx>
            <c:v>Sum of Total_Amount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Lit>
          </c:val>
          <c:extLst>
            <c:ext xmlns:c16="http://schemas.microsoft.com/office/drawing/2014/chart" uri="{C3380CC4-5D6E-409C-BE32-E72D297353CC}">
              <c16:uniqueId val="{00000014-7190-49E8-90E7-7E2CA150241B}"/>
            </c:ext>
          </c:extLst>
        </c:ser>
        <c:ser>
          <c:idx val="1"/>
          <c:order val="1"/>
          <c:tx>
            <c:v>Sum of Quantity</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87</c:v>
              </c:pt>
              <c:pt idx="1">
                <c:v>102</c:v>
              </c:pt>
              <c:pt idx="2">
                <c:v>39</c:v>
              </c:pt>
              <c:pt idx="3">
                <c:v>78</c:v>
              </c:pt>
              <c:pt idx="4">
                <c:v>47</c:v>
              </c:pt>
              <c:pt idx="5">
                <c:v>89</c:v>
              </c:pt>
              <c:pt idx="6">
                <c:v>75</c:v>
              </c:pt>
              <c:pt idx="7">
                <c:v>88</c:v>
              </c:pt>
              <c:pt idx="8">
                <c:v>52</c:v>
              </c:pt>
              <c:pt idx="9">
                <c:v>96</c:v>
              </c:pt>
            </c:numLit>
          </c:val>
          <c:extLst>
            <c:ext xmlns:c16="http://schemas.microsoft.com/office/drawing/2014/chart" uri="{C3380CC4-5D6E-409C-BE32-E72D297353CC}">
              <c16:uniqueId val="{00000029-7190-49E8-90E7-7E2CA150241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lotArea>
      <c:layout>
        <c:manualLayout>
          <c:layoutTarget val="inner"/>
          <c:xMode val="edge"/>
          <c:yMode val="edge"/>
          <c:x val="0.1089212932125567"/>
          <c:y val="0.18941039233323859"/>
          <c:w val="0.8592550204883489"/>
          <c:h val="0.69212120675976552"/>
        </c:manualLayout>
      </c:layout>
      <c:lineChart>
        <c:grouping val="standard"/>
        <c:varyColors val="0"/>
        <c:ser>
          <c:idx val="0"/>
          <c:order val="0"/>
          <c:tx>
            <c:strRef>
              <c:f>[2]Analysis!$B$9</c:f>
              <c:strCache>
                <c:ptCount val="1"/>
                <c:pt idx="0">
                  <c:v>Monthly Revenue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f>[2]Analysis!$A$10:$A$22</c:f>
              <c:numCache>
                <c:formatCode>General</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[2]Analysis!$B$10:$B$22</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46B-4842-8D56-7AD01CC8E466}"/>
            </c:ext>
          </c:extLst>
        </c:ser>
        <c:dLbls>
          <c:showLegendKey val="0"/>
          <c:showVal val="0"/>
          <c:showCatName val="0"/>
          <c:showSerName val="0"/>
          <c:showPercent val="0"/>
          <c:showBubbleSize val="0"/>
        </c:dLbls>
        <c:marker val="1"/>
        <c:smooth val="0"/>
        <c:axId val="351899135"/>
        <c:axId val="307996991"/>
      </c:lineChart>
      <c:catAx>
        <c:axId val="35189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7996991"/>
        <c:crosses val="autoZero"/>
        <c:auto val="1"/>
        <c:lblAlgn val="ctr"/>
        <c:lblOffset val="100"/>
        <c:noMultiLvlLbl val="0"/>
      </c:catAx>
      <c:valAx>
        <c:axId val="307996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1899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dk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'Task 8'!$B$5</c:f>
              <c:strCache>
                <c:ptCount val="1"/>
                <c:pt idx="0">
                  <c:v>Column1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8'!$A$6:$A$10</c:f>
              <c:strCache>
                <c:ptCount val="5"/>
                <c:pt idx="0">
                  <c:v>Product Name</c:v>
                </c:pt>
                <c:pt idx="1">
                  <c:v>Laptop</c:v>
                </c:pt>
                <c:pt idx="2">
                  <c:v>Smartphone</c:v>
                </c:pt>
                <c:pt idx="3">
                  <c:v>Bookshelf</c:v>
                </c:pt>
                <c:pt idx="4">
                  <c:v>Monitor</c:v>
                </c:pt>
              </c:strCache>
            </c:strRef>
          </c:cat>
          <c:val>
            <c:numRef>
              <c:f>'Task 8'!$B$6:$B$10</c:f>
              <c:numCache>
                <c:formatCode>[$₹-445]\ #,##0.00</c:formatCode>
                <c:ptCount val="5"/>
                <c:pt idx="0" formatCode="General">
                  <c:v>0</c:v>
                </c:pt>
                <c:pt idx="1">
                  <c:v>67499.25</c:v>
                </c:pt>
                <c:pt idx="2">
                  <c:v>67199.039999999994</c:v>
                </c:pt>
                <c:pt idx="3">
                  <c:v>15298.979999999994</c:v>
                </c:pt>
                <c:pt idx="4">
                  <c:v>21999.119999999999</c:v>
                </c:pt>
              </c:numCache>
            </c:numRef>
          </c:val>
          <c:extLst>
            <c:ext xmlns:c16="http://schemas.microsoft.com/office/drawing/2014/chart" uri="{C3380CC4-5D6E-409C-BE32-E72D297353CC}">
              <c16:uniqueId val="{00000003-AFEE-4C50-B215-45463B7FE436}"/>
            </c:ext>
          </c:extLst>
        </c:ser>
        <c:dLbls>
          <c:showLegendKey val="0"/>
          <c:showVal val="0"/>
          <c:showCatName val="0"/>
          <c:showSerName val="0"/>
          <c:showPercent val="0"/>
          <c:showBubbleSize val="0"/>
        </c:dLbls>
        <c:gapWidth val="100"/>
        <c:overlap val="-24"/>
        <c:axId val="350697855"/>
        <c:axId val="2008348575"/>
      </c:barChart>
      <c:catAx>
        <c:axId val="35069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348575"/>
        <c:crosses val="autoZero"/>
        <c:auto val="1"/>
        <c:lblAlgn val="ctr"/>
        <c:lblOffset val="100"/>
        <c:noMultiLvlLbl val="0"/>
      </c:catAx>
      <c:valAx>
        <c:axId val="2008348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97855"/>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1540625</xdr:colOff>
      <xdr:row>11</xdr:row>
      <xdr:rowOff>307570</xdr:rowOff>
    </xdr:from>
    <xdr:to>
      <xdr:col>3</xdr:col>
      <xdr:colOff>568802</xdr:colOff>
      <xdr:row>17</xdr:row>
      <xdr:rowOff>49183</xdr:rowOff>
    </xdr:to>
    <mc:AlternateContent xmlns:mc="http://schemas.openxmlformats.org/markup-compatibility/2006">
      <mc:Choice xmlns:a14="http://schemas.microsoft.com/office/drawing/2010/main" Requires="a14">
        <xdr:graphicFrame macro="">
          <xdr:nvGraphicFramePr>
            <xdr:cNvPr id="2" name="Product_Name">
              <a:extLst>
                <a:ext uri="{FF2B5EF4-FFF2-40B4-BE49-F238E27FC236}">
                  <a16:creationId xmlns:a16="http://schemas.microsoft.com/office/drawing/2014/main" id="{CB757064-F24C-4CE3-B9E4-6692CACBFD2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3120043" y="3736570"/>
              <a:ext cx="2187014" cy="1611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480060</xdr:colOff>
      <xdr:row>12</xdr:row>
      <xdr:rowOff>10391</xdr:rowOff>
    </xdr:from>
    <xdr:to>
      <xdr:col>5</xdr:col>
      <xdr:colOff>928330</xdr:colOff>
      <xdr:row>17</xdr:row>
      <xdr:rowOff>48491</xdr:rowOff>
    </xdr:to>
    <mc:AlternateContent xmlns:mc="http://schemas.openxmlformats.org/markup-compatibility/2006">
      <mc:Choice xmlns:a14="http://schemas.microsoft.com/office/drawing/2010/main" Requires="a14">
        <xdr:graphicFrame macro="">
          <xdr:nvGraphicFramePr>
            <xdr:cNvPr id="3" name="Payment_Method">
              <a:extLst>
                <a:ext uri="{FF2B5EF4-FFF2-40B4-BE49-F238E27FC236}">
                  <a16:creationId xmlns:a16="http://schemas.microsoft.com/office/drawing/2014/main" id="{45AFD760-68C1-49A6-9476-869BC9029E5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797733" y="3751118"/>
              <a:ext cx="2027688" cy="1596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31173</xdr:colOff>
      <xdr:row>12</xdr:row>
      <xdr:rowOff>23552</xdr:rowOff>
    </xdr:from>
    <xdr:to>
      <xdr:col>1</xdr:col>
      <xdr:colOff>476670</xdr:colOff>
      <xdr:row>17</xdr:row>
      <xdr:rowOff>61652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33052A74-B440-4FFC-AEC4-8A0DDD489A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173" y="3764279"/>
              <a:ext cx="2024915" cy="1596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1579418</xdr:colOff>
      <xdr:row>4</xdr:row>
      <xdr:rowOff>21474</xdr:rowOff>
    </xdr:from>
    <xdr:to>
      <xdr:col>5</xdr:col>
      <xdr:colOff>845126</xdr:colOff>
      <xdr:row>11</xdr:row>
      <xdr:rowOff>311034</xdr:rowOff>
    </xdr:to>
    <xdr:graphicFrame macro="">
      <xdr:nvGraphicFramePr>
        <xdr:cNvPr id="5" name="Chart 4">
          <a:extLst>
            <a:ext uri="{FF2B5EF4-FFF2-40B4-BE49-F238E27FC236}">
              <a16:creationId xmlns:a16="http://schemas.microsoft.com/office/drawing/2014/main" id="{47C65D2D-3582-45C1-9818-F6697258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20782</xdr:colOff>
      <xdr:row>4</xdr:row>
      <xdr:rowOff>13854</xdr:rowOff>
    </xdr:from>
    <xdr:to>
      <xdr:col>2</xdr:col>
      <xdr:colOff>1251758</xdr:colOff>
      <xdr:row>12</xdr:row>
      <xdr:rowOff>6927</xdr:rowOff>
    </xdr:to>
    <xdr:graphicFrame macro="">
      <xdr:nvGraphicFramePr>
        <xdr:cNvPr id="6" name="Chart 5">
          <a:extLst>
            <a:ext uri="{FF2B5EF4-FFF2-40B4-BE49-F238E27FC236}">
              <a16:creationId xmlns:a16="http://schemas.microsoft.com/office/drawing/2014/main" id="{F17D6E23-03CF-4E1B-964B-4B102A74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247303</xdr:colOff>
      <xdr:row>12</xdr:row>
      <xdr:rowOff>28401</xdr:rowOff>
    </xdr:from>
    <xdr:to>
      <xdr:col>8</xdr:col>
      <xdr:colOff>814449</xdr:colOff>
      <xdr:row>16</xdr:row>
      <xdr:rowOff>155764</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904132C1-3697-4EDA-9CD9-6E61003C44F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67848" y="3769128"/>
              <a:ext cx="3407328" cy="13742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1336964</xdr:colOff>
      <xdr:row>4</xdr:row>
      <xdr:rowOff>0</xdr:rowOff>
    </xdr:from>
    <xdr:to>
      <xdr:col>8</xdr:col>
      <xdr:colOff>1129146</xdr:colOff>
      <xdr:row>11</xdr:row>
      <xdr:rowOff>263236</xdr:rowOff>
    </xdr:to>
    <xdr:graphicFrame macro="">
      <xdr:nvGraphicFramePr>
        <xdr:cNvPr id="8" name="Revenue by Product">
          <a:extLst>
            <a:ext uri="{FF2B5EF4-FFF2-40B4-BE49-F238E27FC236}">
              <a16:creationId xmlns:a16="http://schemas.microsoft.com/office/drawing/2014/main" id="{9E809607-7E30-4058-B137-C61B437E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32ba6821f5d7695d/Desktop/Final_P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Final_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Pivot Table"/>
      <sheetName val="Scenario Summary"/>
      <sheetName val="Summary"/>
      <sheetName val="Analysis"/>
      <sheetName val="Visualizations"/>
      <sheetName val="Dashboard"/>
    </sheetNames>
    <sheetDataSet>
      <sheetData sheetId="0">
        <row r="1">
          <cell r="H1" t="str">
            <v>Quantity</v>
          </cell>
        </row>
        <row r="2">
          <cell r="H2">
            <v>3</v>
          </cell>
        </row>
        <row r="3">
          <cell r="H3">
            <v>3</v>
          </cell>
        </row>
        <row r="4">
          <cell r="H4">
            <v>3</v>
          </cell>
        </row>
        <row r="5">
          <cell r="H5">
            <v>3</v>
          </cell>
        </row>
        <row r="6">
          <cell r="H6">
            <v>5</v>
          </cell>
        </row>
        <row r="7">
          <cell r="H7">
            <v>2</v>
          </cell>
        </row>
        <row r="8">
          <cell r="H8">
            <v>5</v>
          </cell>
        </row>
        <row r="9">
          <cell r="H9">
            <v>3</v>
          </cell>
        </row>
        <row r="10">
          <cell r="H10">
            <v>3</v>
          </cell>
        </row>
        <row r="11">
          <cell r="H11">
            <v>3</v>
          </cell>
        </row>
        <row r="12">
          <cell r="H12">
            <v>1</v>
          </cell>
        </row>
        <row r="13">
          <cell r="H13">
            <v>5</v>
          </cell>
        </row>
        <row r="14">
          <cell r="H14">
            <v>3</v>
          </cell>
        </row>
        <row r="15">
          <cell r="H15">
            <v>3</v>
          </cell>
        </row>
        <row r="16">
          <cell r="H16">
            <v>3</v>
          </cell>
        </row>
        <row r="17">
          <cell r="H17">
            <v>1</v>
          </cell>
        </row>
        <row r="18">
          <cell r="H18">
            <v>4</v>
          </cell>
        </row>
        <row r="19">
          <cell r="H19">
            <v>2</v>
          </cell>
        </row>
        <row r="20">
          <cell r="H20">
            <v>4</v>
          </cell>
        </row>
        <row r="21">
          <cell r="H21">
            <v>3</v>
          </cell>
        </row>
        <row r="22">
          <cell r="H22">
            <v>5</v>
          </cell>
        </row>
        <row r="23">
          <cell r="H23">
            <v>4</v>
          </cell>
        </row>
        <row r="24">
          <cell r="H24">
            <v>4</v>
          </cell>
        </row>
        <row r="25">
          <cell r="H25">
            <v>4</v>
          </cell>
        </row>
        <row r="26">
          <cell r="H26">
            <v>5</v>
          </cell>
        </row>
        <row r="27">
          <cell r="H27">
            <v>5</v>
          </cell>
        </row>
        <row r="28">
          <cell r="H28">
            <v>3</v>
          </cell>
        </row>
        <row r="29">
          <cell r="H29">
            <v>5</v>
          </cell>
        </row>
        <row r="30">
          <cell r="H30">
            <v>2</v>
          </cell>
        </row>
        <row r="31">
          <cell r="H31">
            <v>4</v>
          </cell>
        </row>
        <row r="32">
          <cell r="H32">
            <v>5</v>
          </cell>
        </row>
        <row r="33">
          <cell r="H33">
            <v>2</v>
          </cell>
        </row>
        <row r="34">
          <cell r="H34">
            <v>3</v>
          </cell>
        </row>
        <row r="35">
          <cell r="H35">
            <v>1</v>
          </cell>
        </row>
        <row r="36">
          <cell r="H36">
            <v>3</v>
          </cell>
        </row>
        <row r="37">
          <cell r="H37">
            <v>3</v>
          </cell>
        </row>
        <row r="38">
          <cell r="H38">
            <v>3</v>
          </cell>
        </row>
        <row r="39">
          <cell r="H39">
            <v>5</v>
          </cell>
        </row>
        <row r="40">
          <cell r="H40">
            <v>3</v>
          </cell>
        </row>
        <row r="41">
          <cell r="H41">
            <v>1</v>
          </cell>
        </row>
        <row r="42">
          <cell r="H42">
            <v>2</v>
          </cell>
        </row>
        <row r="43">
          <cell r="H43">
            <v>1</v>
          </cell>
        </row>
        <row r="44">
          <cell r="H44">
            <v>5</v>
          </cell>
        </row>
        <row r="45">
          <cell r="H45">
            <v>5</v>
          </cell>
        </row>
        <row r="46">
          <cell r="H46">
            <v>1</v>
          </cell>
        </row>
        <row r="47">
          <cell r="H47">
            <v>2</v>
          </cell>
        </row>
        <row r="48">
          <cell r="H48">
            <v>4</v>
          </cell>
        </row>
        <row r="49">
          <cell r="H49">
            <v>5</v>
          </cell>
        </row>
        <row r="50">
          <cell r="H50">
            <v>2</v>
          </cell>
        </row>
        <row r="51">
          <cell r="H51">
            <v>5</v>
          </cell>
        </row>
        <row r="52">
          <cell r="H52">
            <v>5</v>
          </cell>
        </row>
        <row r="53">
          <cell r="H53">
            <v>1</v>
          </cell>
        </row>
        <row r="54">
          <cell r="H54">
            <v>2</v>
          </cell>
        </row>
        <row r="55">
          <cell r="H55">
            <v>4</v>
          </cell>
        </row>
        <row r="56">
          <cell r="H56">
            <v>1</v>
          </cell>
        </row>
        <row r="57">
          <cell r="H57">
            <v>2</v>
          </cell>
        </row>
        <row r="58">
          <cell r="H58">
            <v>3</v>
          </cell>
        </row>
        <row r="59">
          <cell r="H59">
            <v>4</v>
          </cell>
        </row>
        <row r="60">
          <cell r="H60">
            <v>1</v>
          </cell>
        </row>
        <row r="61">
          <cell r="H61">
            <v>2</v>
          </cell>
        </row>
        <row r="62">
          <cell r="H62">
            <v>1</v>
          </cell>
        </row>
        <row r="63">
          <cell r="H63">
            <v>1</v>
          </cell>
        </row>
        <row r="64">
          <cell r="H64">
            <v>5</v>
          </cell>
        </row>
        <row r="65">
          <cell r="H65">
            <v>1</v>
          </cell>
        </row>
        <row r="66">
          <cell r="H66">
            <v>2</v>
          </cell>
        </row>
        <row r="67">
          <cell r="H67">
            <v>5</v>
          </cell>
        </row>
        <row r="68">
          <cell r="H68">
            <v>4</v>
          </cell>
        </row>
        <row r="69">
          <cell r="H69">
            <v>1</v>
          </cell>
        </row>
        <row r="70">
          <cell r="H70">
            <v>1</v>
          </cell>
        </row>
        <row r="71">
          <cell r="H71">
            <v>2</v>
          </cell>
        </row>
        <row r="72">
          <cell r="H72">
            <v>3</v>
          </cell>
        </row>
        <row r="73">
          <cell r="H73">
            <v>3</v>
          </cell>
        </row>
        <row r="74">
          <cell r="H74">
            <v>3</v>
          </cell>
        </row>
        <row r="75">
          <cell r="H75">
            <v>1</v>
          </cell>
        </row>
        <row r="76">
          <cell r="H76">
            <v>5</v>
          </cell>
        </row>
        <row r="77">
          <cell r="H77">
            <v>2</v>
          </cell>
        </row>
        <row r="78">
          <cell r="H78">
            <v>4</v>
          </cell>
        </row>
        <row r="79">
          <cell r="H79">
            <v>2</v>
          </cell>
        </row>
        <row r="80">
          <cell r="H80">
            <v>1</v>
          </cell>
        </row>
        <row r="81">
          <cell r="H81">
            <v>2</v>
          </cell>
        </row>
        <row r="82">
          <cell r="H82">
            <v>3</v>
          </cell>
        </row>
        <row r="83">
          <cell r="H83">
            <v>2</v>
          </cell>
        </row>
        <row r="84">
          <cell r="H84">
            <v>4</v>
          </cell>
        </row>
        <row r="85">
          <cell r="H85">
            <v>2</v>
          </cell>
        </row>
        <row r="86">
          <cell r="H86">
            <v>2</v>
          </cell>
        </row>
        <row r="87">
          <cell r="H87">
            <v>1</v>
          </cell>
        </row>
        <row r="88">
          <cell r="H88">
            <v>5</v>
          </cell>
        </row>
        <row r="89">
          <cell r="H89">
            <v>4</v>
          </cell>
        </row>
        <row r="90">
          <cell r="H90">
            <v>5</v>
          </cell>
        </row>
        <row r="91">
          <cell r="H91">
            <v>3</v>
          </cell>
        </row>
        <row r="92">
          <cell r="H92">
            <v>4</v>
          </cell>
        </row>
        <row r="93">
          <cell r="H93">
            <v>5</v>
          </cell>
        </row>
        <row r="94">
          <cell r="H94">
            <v>2</v>
          </cell>
        </row>
        <row r="95">
          <cell r="H95">
            <v>5</v>
          </cell>
        </row>
        <row r="96">
          <cell r="H96">
            <v>3</v>
          </cell>
        </row>
        <row r="97">
          <cell r="H97">
            <v>5</v>
          </cell>
        </row>
        <row r="98">
          <cell r="H98">
            <v>3</v>
          </cell>
        </row>
        <row r="99">
          <cell r="H99">
            <v>2</v>
          </cell>
        </row>
        <row r="100">
          <cell r="H100">
            <v>1</v>
          </cell>
        </row>
        <row r="101">
          <cell r="H101">
            <v>3</v>
          </cell>
        </row>
        <row r="102">
          <cell r="H102">
            <v>2</v>
          </cell>
        </row>
        <row r="103">
          <cell r="H103">
            <v>1</v>
          </cell>
        </row>
        <row r="104">
          <cell r="H104">
            <v>1</v>
          </cell>
        </row>
        <row r="105">
          <cell r="H105">
            <v>2</v>
          </cell>
        </row>
        <row r="106">
          <cell r="H106">
            <v>3</v>
          </cell>
        </row>
        <row r="107">
          <cell r="H107">
            <v>3</v>
          </cell>
        </row>
        <row r="108">
          <cell r="H108">
            <v>4</v>
          </cell>
        </row>
        <row r="109">
          <cell r="H109">
            <v>1</v>
          </cell>
        </row>
        <row r="110">
          <cell r="H110">
            <v>3</v>
          </cell>
        </row>
        <row r="111">
          <cell r="H111">
            <v>2</v>
          </cell>
        </row>
        <row r="112">
          <cell r="H112">
            <v>4</v>
          </cell>
        </row>
        <row r="113">
          <cell r="H113">
            <v>2</v>
          </cell>
        </row>
        <row r="114">
          <cell r="H114">
            <v>4</v>
          </cell>
        </row>
        <row r="115">
          <cell r="H115">
            <v>5</v>
          </cell>
        </row>
        <row r="116">
          <cell r="H116">
            <v>1</v>
          </cell>
        </row>
        <row r="117">
          <cell r="H117">
            <v>4</v>
          </cell>
        </row>
        <row r="118">
          <cell r="H118">
            <v>3</v>
          </cell>
        </row>
        <row r="119">
          <cell r="H119">
            <v>3</v>
          </cell>
        </row>
        <row r="120">
          <cell r="H120">
            <v>2</v>
          </cell>
        </row>
        <row r="121">
          <cell r="H121">
            <v>1</v>
          </cell>
        </row>
        <row r="122">
          <cell r="H122">
            <v>4</v>
          </cell>
        </row>
        <row r="123">
          <cell r="H123">
            <v>2</v>
          </cell>
        </row>
        <row r="124">
          <cell r="H124">
            <v>4</v>
          </cell>
        </row>
        <row r="125">
          <cell r="H125">
            <v>2</v>
          </cell>
        </row>
        <row r="126">
          <cell r="H126">
            <v>3</v>
          </cell>
        </row>
        <row r="127">
          <cell r="H127">
            <v>3</v>
          </cell>
        </row>
        <row r="128">
          <cell r="H128">
            <v>3</v>
          </cell>
        </row>
        <row r="129">
          <cell r="H129">
            <v>5</v>
          </cell>
        </row>
        <row r="130">
          <cell r="H130">
            <v>4</v>
          </cell>
        </row>
        <row r="131">
          <cell r="H131">
            <v>1</v>
          </cell>
        </row>
        <row r="132">
          <cell r="H132">
            <v>2</v>
          </cell>
        </row>
        <row r="133">
          <cell r="H133">
            <v>3</v>
          </cell>
        </row>
        <row r="134">
          <cell r="H134">
            <v>2</v>
          </cell>
        </row>
        <row r="135">
          <cell r="H135">
            <v>2</v>
          </cell>
        </row>
        <row r="136">
          <cell r="H136">
            <v>5</v>
          </cell>
        </row>
        <row r="137">
          <cell r="H137">
            <v>3</v>
          </cell>
        </row>
        <row r="138">
          <cell r="H138">
            <v>5</v>
          </cell>
        </row>
        <row r="139">
          <cell r="H139">
            <v>3</v>
          </cell>
        </row>
        <row r="140">
          <cell r="H140">
            <v>3</v>
          </cell>
        </row>
        <row r="141">
          <cell r="H141">
            <v>2</v>
          </cell>
        </row>
        <row r="142">
          <cell r="H142">
            <v>1</v>
          </cell>
        </row>
        <row r="143">
          <cell r="H143">
            <v>3</v>
          </cell>
        </row>
        <row r="144">
          <cell r="H144">
            <v>5</v>
          </cell>
        </row>
        <row r="145">
          <cell r="H145">
            <v>4</v>
          </cell>
        </row>
        <row r="146">
          <cell r="H146">
            <v>5</v>
          </cell>
        </row>
        <row r="147">
          <cell r="H147">
            <v>3</v>
          </cell>
        </row>
        <row r="148">
          <cell r="H148">
            <v>5</v>
          </cell>
        </row>
        <row r="149">
          <cell r="H149">
            <v>2</v>
          </cell>
        </row>
        <row r="150">
          <cell r="H150">
            <v>4</v>
          </cell>
        </row>
        <row r="151">
          <cell r="H151">
            <v>1</v>
          </cell>
        </row>
        <row r="152">
          <cell r="H152">
            <v>3</v>
          </cell>
        </row>
        <row r="153">
          <cell r="H153">
            <v>5</v>
          </cell>
        </row>
        <row r="154">
          <cell r="H154">
            <v>2</v>
          </cell>
        </row>
        <row r="155">
          <cell r="H155">
            <v>3</v>
          </cell>
        </row>
        <row r="156">
          <cell r="H156">
            <v>5</v>
          </cell>
        </row>
        <row r="157">
          <cell r="H157">
            <v>2</v>
          </cell>
        </row>
        <row r="158">
          <cell r="H158">
            <v>5</v>
          </cell>
        </row>
        <row r="159">
          <cell r="H159">
            <v>4</v>
          </cell>
        </row>
        <row r="160">
          <cell r="H160">
            <v>4</v>
          </cell>
        </row>
        <row r="161">
          <cell r="H161">
            <v>2</v>
          </cell>
        </row>
        <row r="162">
          <cell r="H162">
            <v>3</v>
          </cell>
        </row>
        <row r="163">
          <cell r="H163">
            <v>4</v>
          </cell>
        </row>
        <row r="164">
          <cell r="H164">
            <v>3</v>
          </cell>
        </row>
        <row r="165">
          <cell r="H165">
            <v>2</v>
          </cell>
        </row>
        <row r="166">
          <cell r="H166">
            <v>1</v>
          </cell>
        </row>
        <row r="167">
          <cell r="H167">
            <v>2</v>
          </cell>
        </row>
        <row r="168">
          <cell r="H168">
            <v>2</v>
          </cell>
        </row>
        <row r="169">
          <cell r="H169">
            <v>1</v>
          </cell>
        </row>
        <row r="170">
          <cell r="H170">
            <v>5</v>
          </cell>
        </row>
        <row r="171">
          <cell r="H171">
            <v>2</v>
          </cell>
        </row>
        <row r="172">
          <cell r="H172">
            <v>2</v>
          </cell>
        </row>
        <row r="173">
          <cell r="H173">
            <v>3</v>
          </cell>
        </row>
        <row r="174">
          <cell r="H174">
            <v>2</v>
          </cell>
        </row>
        <row r="175">
          <cell r="H175">
            <v>2</v>
          </cell>
        </row>
        <row r="176">
          <cell r="H176">
            <v>4</v>
          </cell>
        </row>
        <row r="177">
          <cell r="H177">
            <v>1</v>
          </cell>
        </row>
        <row r="178">
          <cell r="H178">
            <v>5</v>
          </cell>
        </row>
        <row r="179">
          <cell r="H179">
            <v>1</v>
          </cell>
        </row>
        <row r="180">
          <cell r="H180">
            <v>2</v>
          </cell>
        </row>
        <row r="181">
          <cell r="H181">
            <v>1</v>
          </cell>
        </row>
        <row r="182">
          <cell r="H182">
            <v>5</v>
          </cell>
        </row>
        <row r="183">
          <cell r="H183">
            <v>3</v>
          </cell>
        </row>
        <row r="184">
          <cell r="H184">
            <v>3</v>
          </cell>
        </row>
        <row r="185">
          <cell r="H185">
            <v>5</v>
          </cell>
        </row>
        <row r="186">
          <cell r="H186">
            <v>5</v>
          </cell>
        </row>
        <row r="187">
          <cell r="H187">
            <v>4</v>
          </cell>
        </row>
        <row r="188">
          <cell r="H188">
            <v>3</v>
          </cell>
        </row>
        <row r="189">
          <cell r="H189">
            <v>1</v>
          </cell>
        </row>
        <row r="190">
          <cell r="H190">
            <v>1</v>
          </cell>
        </row>
        <row r="191">
          <cell r="H191">
            <v>4</v>
          </cell>
        </row>
        <row r="192">
          <cell r="H192">
            <v>2</v>
          </cell>
        </row>
        <row r="193">
          <cell r="H193">
            <v>3</v>
          </cell>
        </row>
        <row r="194">
          <cell r="H194">
            <v>4</v>
          </cell>
        </row>
        <row r="195">
          <cell r="H195">
            <v>5</v>
          </cell>
        </row>
        <row r="196">
          <cell r="H196">
            <v>3</v>
          </cell>
        </row>
        <row r="197">
          <cell r="H197">
            <v>5</v>
          </cell>
        </row>
        <row r="198">
          <cell r="H198">
            <v>4</v>
          </cell>
        </row>
        <row r="199">
          <cell r="H199">
            <v>4</v>
          </cell>
        </row>
        <row r="200">
          <cell r="H200">
            <v>4</v>
          </cell>
        </row>
        <row r="201">
          <cell r="H201">
            <v>3</v>
          </cell>
        </row>
        <row r="202">
          <cell r="H202">
            <v>2</v>
          </cell>
        </row>
        <row r="203">
          <cell r="H203">
            <v>4</v>
          </cell>
        </row>
        <row r="204">
          <cell r="H204">
            <v>2</v>
          </cell>
        </row>
        <row r="205">
          <cell r="H205">
            <v>3</v>
          </cell>
        </row>
        <row r="206">
          <cell r="H206">
            <v>1</v>
          </cell>
        </row>
        <row r="207">
          <cell r="H207">
            <v>3</v>
          </cell>
        </row>
        <row r="208">
          <cell r="H208">
            <v>5</v>
          </cell>
        </row>
        <row r="209">
          <cell r="H209">
            <v>5</v>
          </cell>
        </row>
        <row r="210">
          <cell r="H210">
            <v>3</v>
          </cell>
        </row>
        <row r="211">
          <cell r="H211">
            <v>3</v>
          </cell>
        </row>
        <row r="212">
          <cell r="H212">
            <v>2</v>
          </cell>
        </row>
        <row r="213">
          <cell r="H213">
            <v>2</v>
          </cell>
        </row>
        <row r="214">
          <cell r="H214">
            <v>5</v>
          </cell>
        </row>
        <row r="215">
          <cell r="H215">
            <v>3</v>
          </cell>
        </row>
        <row r="216">
          <cell r="H216">
            <v>3</v>
          </cell>
        </row>
        <row r="217">
          <cell r="H217">
            <v>3</v>
          </cell>
        </row>
        <row r="218">
          <cell r="H218">
            <v>5</v>
          </cell>
        </row>
        <row r="219">
          <cell r="H219">
            <v>1</v>
          </cell>
        </row>
        <row r="220">
          <cell r="H220">
            <v>1</v>
          </cell>
        </row>
        <row r="221">
          <cell r="H221">
            <v>4</v>
          </cell>
        </row>
        <row r="222">
          <cell r="H222">
            <v>5</v>
          </cell>
        </row>
        <row r="223">
          <cell r="H223">
            <v>2</v>
          </cell>
        </row>
        <row r="224">
          <cell r="H224">
            <v>4</v>
          </cell>
        </row>
        <row r="225">
          <cell r="H225">
            <v>2</v>
          </cell>
        </row>
        <row r="226">
          <cell r="H226">
            <v>2</v>
          </cell>
        </row>
        <row r="227">
          <cell r="H227">
            <v>5</v>
          </cell>
        </row>
        <row r="228">
          <cell r="H228">
            <v>5</v>
          </cell>
        </row>
        <row r="229">
          <cell r="H229">
            <v>2</v>
          </cell>
        </row>
        <row r="230">
          <cell r="H230">
            <v>5</v>
          </cell>
        </row>
        <row r="231">
          <cell r="H231">
            <v>2</v>
          </cell>
        </row>
        <row r="232">
          <cell r="H232">
            <v>5</v>
          </cell>
        </row>
        <row r="233">
          <cell r="H233">
            <v>4</v>
          </cell>
        </row>
        <row r="234">
          <cell r="H234">
            <v>1</v>
          </cell>
        </row>
        <row r="235">
          <cell r="H235">
            <v>2</v>
          </cell>
        </row>
        <row r="236">
          <cell r="H236">
            <v>2</v>
          </cell>
        </row>
        <row r="237">
          <cell r="H237">
            <v>3</v>
          </cell>
        </row>
        <row r="238">
          <cell r="H238">
            <v>3</v>
          </cell>
        </row>
        <row r="239">
          <cell r="H239">
            <v>3</v>
          </cell>
        </row>
        <row r="240">
          <cell r="H240">
            <v>4</v>
          </cell>
        </row>
        <row r="241">
          <cell r="H241">
            <v>4</v>
          </cell>
        </row>
        <row r="242">
          <cell r="H242">
            <v>5</v>
          </cell>
        </row>
        <row r="243">
          <cell r="H243">
            <v>3</v>
          </cell>
        </row>
        <row r="244">
          <cell r="H244">
            <v>2</v>
          </cell>
        </row>
        <row r="245">
          <cell r="H245">
            <v>2</v>
          </cell>
        </row>
        <row r="246">
          <cell r="H246">
            <v>3</v>
          </cell>
        </row>
        <row r="247">
          <cell r="H247">
            <v>3</v>
          </cell>
        </row>
        <row r="248">
          <cell r="H248">
            <v>1</v>
          </cell>
        </row>
        <row r="249">
          <cell r="H249">
            <v>3</v>
          </cell>
        </row>
        <row r="250">
          <cell r="H250">
            <v>2</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Pivot Table"/>
      <sheetName val="Scenario Summary"/>
      <sheetName val="Summary"/>
      <sheetName val="Analysis"/>
      <sheetName val="Visualizations"/>
      <sheetName val="Dashboard"/>
    </sheetNames>
    <sheetDataSet>
      <sheetData sheetId="0"/>
      <sheetData sheetId="1" refreshError="1"/>
      <sheetData sheetId="2" refreshError="1"/>
      <sheetData sheetId="3" refreshError="1"/>
      <sheetData sheetId="4">
        <row r="9">
          <cell r="B9" t="str">
            <v>Monthly Revenue</v>
          </cell>
        </row>
        <row r="10">
          <cell r="A10">
            <v>45383</v>
          </cell>
          <cell r="B10">
            <v>20919.330000000002</v>
          </cell>
        </row>
        <row r="11">
          <cell r="A11">
            <v>45413</v>
          </cell>
          <cell r="B11">
            <v>17039.349999999999</v>
          </cell>
        </row>
        <row r="12">
          <cell r="A12">
            <v>45444</v>
          </cell>
          <cell r="B12">
            <v>19299.45</v>
          </cell>
        </row>
        <row r="13">
          <cell r="A13">
            <v>45474</v>
          </cell>
          <cell r="B13">
            <v>18479.399999999994</v>
          </cell>
        </row>
        <row r="14">
          <cell r="A14">
            <v>45505</v>
          </cell>
          <cell r="B14">
            <v>15759.429999999997</v>
          </cell>
        </row>
        <row r="15">
          <cell r="A15">
            <v>45536</v>
          </cell>
          <cell r="B15">
            <v>12989.509999999997</v>
          </cell>
        </row>
        <row r="16">
          <cell r="A16">
            <v>45566</v>
          </cell>
          <cell r="B16">
            <v>20609.52</v>
          </cell>
        </row>
        <row r="17">
          <cell r="A17">
            <v>45597</v>
          </cell>
          <cell r="B17">
            <v>12309.439999999999</v>
          </cell>
        </row>
        <row r="18">
          <cell r="A18">
            <v>45627</v>
          </cell>
          <cell r="B18">
            <v>23039.3</v>
          </cell>
        </row>
        <row r="19">
          <cell r="A19">
            <v>45658</v>
          </cell>
          <cell r="B19">
            <v>25799.15</v>
          </cell>
        </row>
        <row r="20">
          <cell r="A20">
            <v>45689</v>
          </cell>
          <cell r="B20">
            <v>16069.379999999997</v>
          </cell>
        </row>
        <row r="21">
          <cell r="A21">
            <v>45717</v>
          </cell>
          <cell r="B21">
            <v>19899.379999999997</v>
          </cell>
        </row>
        <row r="22">
          <cell r="A22">
            <v>45748</v>
          </cell>
          <cell r="B22">
            <v>6979.829999999999</v>
          </cell>
        </row>
      </sheetData>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D:\Final_P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C2A268CB-29B1-448D-97D9-9D52B5DD8206}">
  <cacheSource type="worksheet">
    <worksheetSource name="SalesData"/>
  </cacheSource>
  <cacheFields count="17">
    <cacheField name="Transaction_ID" numFmtId="0">
      <sharedItems/>
    </cacheField>
    <cacheField name="Date" numFmtId="166">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E34B54DB-B0DA-4D8E-B39F-31E72AEF4661}">
  <cacheSource type="worksheet">
    <worksheetSource name="SalesData" r:id="rId2"/>
  </cacheSource>
  <cacheFields count="17">
    <cacheField name="Transaction_ID" numFmtId="0">
      <sharedItems/>
    </cacheField>
    <cacheField name="Date" numFmtId="166">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pivotCacheId="684868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s v="Basic"/>
    <d v="2021-08-17T00:00:00"/>
    <n v="749.97"/>
    <n v="749.97"/>
    <n v="74.997"/>
    <n v="0.1"/>
  </r>
  <r>
    <s v="TRX0023"/>
    <d v="2024-04-14T00:00:00"/>
    <s v="CUST013"/>
    <s v="Joseph Jackson"/>
    <s v="P009"/>
    <x v="0"/>
    <s v="Electronics"/>
    <n v="3"/>
    <n v="249.99"/>
    <s v="Credit Card"/>
    <x v="0"/>
    <s v="Premium"/>
    <d v="2022-01-14T00:00:00"/>
    <n v="749.97"/>
    <n v="749.97"/>
    <n v="74.997"/>
    <n v="0.1"/>
  </r>
  <r>
    <s v="TRX0139"/>
    <d v="2024-04-17T00:00:00"/>
    <s v="CUST021"/>
    <s v="Kevin Scott"/>
    <s v="P005"/>
    <x v="1"/>
    <s v="Appliances"/>
    <n v="3"/>
    <n v="59.99"/>
    <s v="PayPal"/>
    <x v="1"/>
    <s v="Standard"/>
    <d v="2023-12-02T00:00:00"/>
    <n v="179.97"/>
    <n v="179.97"/>
    <n v="17.997"/>
    <n v="0.1"/>
  </r>
  <r>
    <s v="TRX0043"/>
    <d v="2024-04-18T00:00:00"/>
    <s v="CUST046"/>
    <s v="Kathleen Bennett"/>
    <s v="P005"/>
    <x v="1"/>
    <s v="Appliances"/>
    <n v="3"/>
    <n v="59.99"/>
    <s v="Cash"/>
    <x v="2"/>
    <s v="Premium"/>
    <d v="2023-07-07T00:00:00"/>
    <n v="179.97"/>
    <n v="179.97"/>
    <n v="17.997"/>
    <n v="0.1"/>
  </r>
  <r>
    <s v="TRX0212"/>
    <d v="2024-04-18T00:00:00"/>
    <s v="CUST003"/>
    <s v="Michael Brown"/>
    <s v="P008"/>
    <x v="2"/>
    <s v="Furniture"/>
    <n v="5"/>
    <n v="149.99"/>
    <s v="Credit Card"/>
    <x v="2"/>
    <s v="Premium"/>
    <d v="2024-01-04T00:00:00"/>
    <n v="749.95"/>
    <n v="749.95"/>
    <n v="74.995000000000005"/>
    <n v="0.1"/>
  </r>
  <r>
    <s v="TRX0092"/>
    <d v="2024-04-21T00:00:00"/>
    <s v="CUST024"/>
    <s v="Dorothy Nelson"/>
    <s v="P005"/>
    <x v="1"/>
    <s v="Appliances"/>
    <n v="2"/>
    <n v="59.99"/>
    <s v="Cash"/>
    <x v="3"/>
    <s v="Standard"/>
    <d v="2022-07-04T00:00:00"/>
    <n v="119.98"/>
    <n v="119.98"/>
    <n v="11.998000000000001"/>
    <n v="0.1"/>
  </r>
  <r>
    <s v="TRX0193"/>
    <d v="2024-04-21T00:00:00"/>
    <s v="CUST024"/>
    <s v="Dorothy Nelson"/>
    <s v="P003"/>
    <x v="3"/>
    <s v="Electronics"/>
    <n v="5"/>
    <n v="149.99"/>
    <s v="Credit Card"/>
    <x v="0"/>
    <s v="Standard"/>
    <d v="2021-08-10T00:00:00"/>
    <n v="749.95"/>
    <n v="749.95"/>
    <n v="74.995000000000005"/>
    <n v="0.1"/>
  </r>
  <r>
    <s v="TRX0240"/>
    <d v="2024-04-21T00:00:00"/>
    <s v="CUST017"/>
    <s v="Charles Allen"/>
    <s v="P005"/>
    <x v="1"/>
    <s v="Appliances"/>
    <n v="3"/>
    <n v="59.99"/>
    <s v="Debit Card"/>
    <x v="1"/>
    <s v="Basic"/>
    <d v="2023-03-22T00:00:00"/>
    <n v="179.97"/>
    <n v="179.97"/>
    <n v="17.997"/>
    <n v="0.1"/>
  </r>
  <r>
    <s v="TRX0135"/>
    <d v="2024-04-23T00:00:00"/>
    <s v="CUST009"/>
    <s v="Robert Thomas"/>
    <s v="P001"/>
    <x v="4"/>
    <s v="Electronics"/>
    <n v="3"/>
    <n v="899.99"/>
    <s v="PayPal"/>
    <x v="4"/>
    <s v="Standard"/>
    <d v="2024-01-08T00:00:00"/>
    <n v="2699.97"/>
    <n v="2699.97"/>
    <n v="269.99700000000001"/>
    <n v="0.1"/>
  </r>
  <r>
    <s v="TRX0185"/>
    <d v="2024-04-26T00:00:00"/>
    <s v="CUST026"/>
    <s v="Karen Hill"/>
    <s v="P005"/>
    <x v="1"/>
    <s v="Appliances"/>
    <n v="3"/>
    <n v="59.99"/>
    <s v="Cash"/>
    <x v="3"/>
    <s v="Premium"/>
    <d v="2023-10-08T00:00:00"/>
    <n v="179.97"/>
    <n v="179.97"/>
    <n v="17.997"/>
    <n v="0.1"/>
  </r>
  <r>
    <s v="TRX0138"/>
    <d v="2024-04-26T00:00:00"/>
    <s v="CUST022"/>
    <s v="Susan Green"/>
    <s v="P008"/>
    <x v="2"/>
    <s v="Furniture"/>
    <n v="1"/>
    <n v="149.99"/>
    <s v="Credit Card"/>
    <x v="3"/>
    <s v="Standard"/>
    <d v="2023-06-26T00:00:00"/>
    <n v="149.99"/>
    <n v="149.99"/>
    <n v="14.999000000000002"/>
    <n v="0.1"/>
  </r>
  <r>
    <s v="TRX0209"/>
    <d v="2024-04-26T00:00:00"/>
    <s v="CUST046"/>
    <s v="Kathleen Bennett"/>
    <s v="P008"/>
    <x v="2"/>
    <s v="Furniture"/>
    <n v="5"/>
    <n v="149.99"/>
    <s v="Debit Card"/>
    <x v="2"/>
    <s v="Basic"/>
    <d v="2022-09-26T00:00:00"/>
    <n v="749.95"/>
    <n v="749.95"/>
    <n v="74.995000000000005"/>
    <n v="0.1"/>
  </r>
  <r>
    <s v="TRX0246"/>
    <d v="2024-04-26T00:00:00"/>
    <s v="CUST041"/>
    <s v="Peter Richardson"/>
    <s v="P008"/>
    <x v="2"/>
    <s v="Furniture"/>
    <n v="3"/>
    <n v="149.99"/>
    <s v="Cash"/>
    <x v="2"/>
    <s v="Premium"/>
    <d v="2022-09-02T00:00:00"/>
    <n v="449.97"/>
    <n v="449.97"/>
    <n v="44.997000000000007"/>
    <n v="0.1"/>
  </r>
  <r>
    <s v="TRX0067"/>
    <d v="2024-04-27T00:00:00"/>
    <s v="CUST043"/>
    <s v="Dennis Gray"/>
    <s v="P005"/>
    <x v="1"/>
    <s v="Appliances"/>
    <n v="3"/>
    <n v="59.99"/>
    <s v="Credit Card"/>
    <x v="2"/>
    <s v="Standard"/>
    <d v="2024-02-29T00:00:00"/>
    <n v="179.97"/>
    <n v="179.97"/>
    <n v="17.997"/>
    <n v="0.1"/>
  </r>
  <r>
    <s v="TRX0191"/>
    <d v="2024-04-27T00:00:00"/>
    <s v="CUST038"/>
    <s v="Michelle Rogers"/>
    <s v="P002"/>
    <x v="5"/>
    <s v="Electronics"/>
    <n v="3"/>
    <n v="699.99"/>
    <s v="Credit Card"/>
    <x v="3"/>
    <s v="Basic"/>
    <d v="2022-01-16T00:00:00"/>
    <n v="2099.9699999999998"/>
    <n v="2099.9699999999998"/>
    <n v="209.99699999999999"/>
    <n v="0.1"/>
  </r>
  <r>
    <s v="TRX0230"/>
    <d v="2024-04-27T00:00:00"/>
    <s v="CUST027"/>
    <s v="George Adams"/>
    <s v="P001"/>
    <x v="4"/>
    <s v="Electronics"/>
    <n v="1"/>
    <n v="899.99"/>
    <s v="Debit Card"/>
    <x v="2"/>
    <s v="Standard"/>
    <d v="2022-12-25T00:00:00"/>
    <n v="899.99"/>
    <n v="899.99"/>
    <n v="89.999000000000009"/>
    <n v="0.1"/>
  </r>
  <r>
    <s v="TRX0049"/>
    <d v="2024-04-28T00:00:00"/>
    <s v="CUST025"/>
    <s v="Mark Carter"/>
    <s v="P008"/>
    <x v="2"/>
    <s v="Furniture"/>
    <n v="4"/>
    <n v="149.99"/>
    <s v="Debit Card"/>
    <x v="2"/>
    <s v="Premium"/>
    <d v="2024-03-23T00:00:00"/>
    <n v="599.96"/>
    <n v="599.96"/>
    <n v="59.996000000000009"/>
    <n v="0.1"/>
  </r>
  <r>
    <s v="TRX0134"/>
    <d v="2024-04-28T00:00:00"/>
    <s v="CUST010"/>
    <s v="Maria Garcia"/>
    <s v="P002"/>
    <x v="5"/>
    <s v="Electronics"/>
    <n v="2"/>
    <n v="699.99"/>
    <s v="Cash"/>
    <x v="2"/>
    <s v="Basic"/>
    <d v="2022-08-08T00:00:00"/>
    <n v="1399.98"/>
    <n v="1399.98"/>
    <n v="139.99800000000002"/>
    <n v="0.1"/>
  </r>
  <r>
    <s v="TRX0122"/>
    <d v="2024-04-28T00:00:00"/>
    <s v="CUST025"/>
    <s v="Mark Carter"/>
    <s v="P001"/>
    <x v="4"/>
    <s v="Electronics"/>
    <n v="4"/>
    <n v="899.99"/>
    <s v="Credit Card"/>
    <x v="3"/>
    <s v="Standard"/>
    <d v="2024-02-05T00:00:00"/>
    <n v="3599.96"/>
    <n v="3599.96"/>
    <n v="359.99600000000004"/>
    <n v="0.1"/>
  </r>
  <r>
    <s v="TRX0222"/>
    <d v="2024-04-28T00:00:00"/>
    <s v="CUST048"/>
    <s v="Virginia Sanders"/>
    <s v="P009"/>
    <x v="0"/>
    <s v="Electronics"/>
    <n v="3"/>
    <n v="249.99"/>
    <s v="Credit Card"/>
    <x v="2"/>
    <s v="Premium"/>
    <d v="2023-10-25T00:00:00"/>
    <n v="749.97"/>
    <n v="749.97"/>
    <n v="74.997"/>
    <n v="0.1"/>
  </r>
  <r>
    <s v="TRX0231"/>
    <d v="2024-04-30T00:00:00"/>
    <s v="CUST018"/>
    <s v="Barbara Young"/>
    <s v="P002"/>
    <x v="5"/>
    <s v="Electronics"/>
    <n v="5"/>
    <n v="699.99"/>
    <s v="Cash"/>
    <x v="3"/>
    <s v="Basic"/>
    <d v="2023-08-29T00:00:00"/>
    <n v="3499.95"/>
    <n v="3499.95"/>
    <n v="349.995"/>
    <n v="0.1"/>
  </r>
  <r>
    <s v="TRX0239"/>
    <d v="2024-05-01T00:00:00"/>
    <s v="CUST012"/>
    <s v="Patricia Moore"/>
    <s v="P002"/>
    <x v="5"/>
    <s v="Electronics"/>
    <n v="4"/>
    <n v="699.99"/>
    <s v="Cash"/>
    <x v="4"/>
    <s v="Standard"/>
    <d v="2021-08-01T00:00:00"/>
    <n v="2799.96"/>
    <n v="2799.96"/>
    <n v="279.99600000000004"/>
    <n v="0.1"/>
  </r>
  <r>
    <s v="TRX0204"/>
    <d v="2024-05-03T00:00:00"/>
    <s v="CUST044"/>
    <s v="Cynthia Price"/>
    <s v="P009"/>
    <x v="0"/>
    <s v="Electronics"/>
    <n v="4"/>
    <n v="249.99"/>
    <s v="PayPal"/>
    <x v="2"/>
    <s v="Standard"/>
    <d v="2021-09-29T00:00:00"/>
    <n v="999.96"/>
    <n v="999.96"/>
    <n v="99.996000000000009"/>
    <n v="0.1"/>
  </r>
  <r>
    <s v="TRX0242"/>
    <d v="2024-05-04T00:00:00"/>
    <s v="CUST025"/>
    <s v="Mark Carter"/>
    <s v="P007"/>
    <x v="6"/>
    <s v="Furniture"/>
    <n v="4"/>
    <n v="299.99"/>
    <s v="Cash"/>
    <x v="3"/>
    <s v="Premium"/>
    <d v="2022-06-04T00:00:00"/>
    <n v="1199.96"/>
    <n v="1199.96"/>
    <n v="119.99600000000001"/>
    <n v="0.1"/>
  </r>
  <r>
    <s v="TRX0071"/>
    <d v="2024-05-10T00:00:00"/>
    <s v="CUST036"/>
    <s v="Nancy Collins"/>
    <s v="P009"/>
    <x v="0"/>
    <s v="Electronics"/>
    <n v="5"/>
    <n v="249.99"/>
    <s v="Credit Card"/>
    <x v="3"/>
    <s v="Standard"/>
    <d v="2021-11-25T00:00:00"/>
    <n v="1249.95"/>
    <n v="1249.95"/>
    <n v="124.995"/>
    <n v="0.1"/>
  </r>
  <r>
    <s v="TRX0040"/>
    <d v="2024-05-12T00:00:00"/>
    <s v="CUST022"/>
    <s v="Susan Green"/>
    <s v="P007"/>
    <x v="6"/>
    <s v="Furniture"/>
    <n v="5"/>
    <n v="299.99"/>
    <s v="PayPal"/>
    <x v="4"/>
    <s v="Basic"/>
    <d v="2023-08-30T00:00:00"/>
    <n v="1499.95"/>
    <n v="1499.95"/>
    <n v="149.995"/>
    <n v="0.1"/>
  </r>
  <r>
    <s v="TRX0235"/>
    <d v="2024-05-12T00:00:00"/>
    <s v="CUST014"/>
    <s v="Linda Martin"/>
    <s v="P004"/>
    <x v="7"/>
    <s v="Appliances"/>
    <n v="3"/>
    <n v="79.989999999999995"/>
    <s v="PayPal"/>
    <x v="4"/>
    <s v="Premium"/>
    <d v="2023-03-27T00:00:00"/>
    <n v="239.97"/>
    <n v="239.97"/>
    <n v="23.997"/>
    <n v="0.1"/>
  </r>
  <r>
    <s v="TRX0004"/>
    <d v="2024-05-12T00:00:00"/>
    <s v="CUST012"/>
    <s v="Patricia Moore"/>
    <s v="P010"/>
    <x v="8"/>
    <s v="Electronics"/>
    <n v="5"/>
    <n v="89.99"/>
    <s v="Cash"/>
    <x v="2"/>
    <s v="Premium"/>
    <d v="2022-12-24T00:00:00"/>
    <n v="449.95"/>
    <n v="449.95"/>
    <n v="44.995000000000005"/>
    <n v="0.1"/>
  </r>
  <r>
    <s v="TRX0063"/>
    <d v="2024-05-13T00:00:00"/>
    <s v="CUST030"/>
    <s v="Helen Roberts"/>
    <s v="P005"/>
    <x v="1"/>
    <s v="Appliances"/>
    <n v="2"/>
    <n v="59.99"/>
    <s v="Debit Card"/>
    <x v="0"/>
    <s v="Standard"/>
    <d v="2023-10-15T00:00:00"/>
    <n v="119.98"/>
    <n v="119.98"/>
    <n v="11.998000000000001"/>
    <n v="0.1"/>
  </r>
  <r>
    <s v="TRX0241"/>
    <d v="2024-05-15T00:00:00"/>
    <s v="CUST029"/>
    <s v="Edward Mitchell"/>
    <s v="P005"/>
    <x v="1"/>
    <s v="Appliances"/>
    <n v="4"/>
    <n v="59.99"/>
    <s v="Debit Card"/>
    <x v="4"/>
    <s v="Standard"/>
    <d v="2022-11-02T00:00:00"/>
    <n v="239.96"/>
    <n v="239.96"/>
    <n v="23.996000000000002"/>
    <n v="0.1"/>
  </r>
  <r>
    <s v="TRX0029"/>
    <d v="2024-05-15T00:00:00"/>
    <s v="CUST017"/>
    <s v="Charles Allen"/>
    <s v="P006"/>
    <x v="9"/>
    <s v="Furniture"/>
    <n v="5"/>
    <n v="199.99"/>
    <s v="Cash"/>
    <x v="1"/>
    <s v="Standard"/>
    <d v="2021-08-04T00:00:00"/>
    <n v="999.95"/>
    <n v="999.95"/>
    <n v="99.995000000000005"/>
    <n v="0.1"/>
  </r>
  <r>
    <s v="TRX0194"/>
    <d v="2024-05-16T00:00:00"/>
    <s v="CUST006"/>
    <s v="Lisa Anderson"/>
    <s v="P008"/>
    <x v="2"/>
    <s v="Furniture"/>
    <n v="2"/>
    <n v="149.99"/>
    <s v="Credit Card"/>
    <x v="3"/>
    <s v="Basic"/>
    <d v="2022-09-19T00:00:00"/>
    <n v="299.98"/>
    <n v="299.98"/>
    <n v="29.998000000000005"/>
    <n v="0.1"/>
  </r>
  <r>
    <s v="TRX0130"/>
    <d v="2024-05-18T00:00:00"/>
    <s v="CUST002"/>
    <s v="Emma Wilson"/>
    <s v="P008"/>
    <x v="2"/>
    <s v="Furniture"/>
    <n v="3"/>
    <n v="149.99"/>
    <s v="Credit Card"/>
    <x v="3"/>
    <s v="Premium"/>
    <d v="2023-05-22T00:00:00"/>
    <n v="449.97"/>
    <n v="449.97"/>
    <n v="44.997000000000007"/>
    <n v="0.1"/>
  </r>
  <r>
    <s v="TRX0041"/>
    <d v="2024-05-20T00:00:00"/>
    <s v="CUST021"/>
    <s v="Kevin Scott"/>
    <s v="P001"/>
    <x v="4"/>
    <s v="Electronics"/>
    <n v="1"/>
    <n v="899.99"/>
    <s v="Credit Card"/>
    <x v="3"/>
    <s v="Premium"/>
    <d v="2022-01-17T00:00:00"/>
    <n v="899.99"/>
    <n v="899.99"/>
    <n v="89.999000000000009"/>
    <n v="0.1"/>
  </r>
  <r>
    <s v="TRX0232"/>
    <d v="2024-05-22T00:00:00"/>
    <s v="CUST012"/>
    <s v="Patricia Moore"/>
    <s v="P007"/>
    <x v="6"/>
    <s v="Furniture"/>
    <n v="3"/>
    <n v="299.99"/>
    <s v="Credit Card"/>
    <x v="4"/>
    <s v="Basic"/>
    <d v="2022-09-20T00:00:00"/>
    <n v="899.97"/>
    <n v="899.97"/>
    <n v="89.997000000000014"/>
    <n v="0.1"/>
  </r>
  <r>
    <s v="TRX0021"/>
    <d v="2024-05-23T00:00:00"/>
    <s v="CUST006"/>
    <s v="Lisa Anderson"/>
    <s v="P004"/>
    <x v="7"/>
    <s v="Appliances"/>
    <n v="3"/>
    <n v="79.989999999999995"/>
    <s v="Cash"/>
    <x v="1"/>
    <s v="Basic"/>
    <d v="2023-04-30T00:00:00"/>
    <n v="239.97"/>
    <n v="239.97"/>
    <n v="23.997"/>
    <n v="0.1"/>
  </r>
  <r>
    <s v="TRX0245"/>
    <d v="2024-05-26T00:00:00"/>
    <s v="CUST031"/>
    <s v="Steven Turner"/>
    <s v="P006"/>
    <x v="9"/>
    <s v="Furniture"/>
    <n v="3"/>
    <n v="199.99"/>
    <s v="Credit Card"/>
    <x v="2"/>
    <s v="Premium"/>
    <d v="2024-01-01T00:00:00"/>
    <n v="599.97"/>
    <n v="599.97"/>
    <n v="59.997000000000007"/>
    <n v="0.1"/>
  </r>
  <r>
    <s v="TRX0015"/>
    <d v="2024-05-28T00:00:00"/>
    <s v="CUST008"/>
    <s v="Jennifer Taylor"/>
    <s v="P002"/>
    <x v="5"/>
    <s v="Electronics"/>
    <n v="5"/>
    <n v="699.99"/>
    <s v="PayPal"/>
    <x v="3"/>
    <s v="Standard"/>
    <d v="2021-07-30T00:00:00"/>
    <n v="3499.95"/>
    <n v="3499.95"/>
    <n v="349.995"/>
    <n v="0.1"/>
  </r>
  <r>
    <s v="TRX0202"/>
    <d v="2024-05-29T00:00:00"/>
    <s v="CUST035"/>
    <s v="Harry Morgan"/>
    <s v="P010"/>
    <x v="8"/>
    <s v="Electronics"/>
    <n v="3"/>
    <n v="89.99"/>
    <s v="PayPal"/>
    <x v="0"/>
    <s v="Premium"/>
    <d v="2023-07-13T00:00:00"/>
    <n v="269.97000000000003"/>
    <n v="269.97000000000003"/>
    <n v="26.997000000000003"/>
    <n v="0.1"/>
  </r>
  <r>
    <s v="TRX0042"/>
    <d v="2024-05-31T00:00:00"/>
    <s v="CUST019"/>
    <s v="Daniel King"/>
    <s v="P004"/>
    <x v="7"/>
    <s v="Appliances"/>
    <n v="1"/>
    <n v="79.989999999999995"/>
    <s v="Cash"/>
    <x v="2"/>
    <s v="Standard"/>
    <d v="2022-12-22T00:00:00"/>
    <n v="79.989999999999995"/>
    <n v="79.989999999999995"/>
    <n v="7.9989999999999997"/>
    <n v="0.1"/>
  </r>
  <r>
    <s v="TRX0128"/>
    <d v="2024-06-01T00:00:00"/>
    <s v="CUST040"/>
    <s v="Sharon Butler"/>
    <s v="P005"/>
    <x v="1"/>
    <s v="Appliances"/>
    <n v="2"/>
    <n v="59.99"/>
    <s v="Cash"/>
    <x v="3"/>
    <s v="Basic"/>
    <d v="2024-04-08T00:00:00"/>
    <n v="119.98"/>
    <n v="119.98"/>
    <n v="11.998000000000001"/>
    <n v="0.1"/>
  </r>
  <r>
    <s v="TRX0117"/>
    <d v="2024-06-01T00:00:00"/>
    <s v="CUST017"/>
    <s v="Charles Allen"/>
    <s v="P010"/>
    <x v="8"/>
    <s v="Electronics"/>
    <n v="1"/>
    <n v="89.99"/>
    <s v="Cash"/>
    <x v="2"/>
    <s v="Basic"/>
    <d v="2023-08-03T00:00:00"/>
    <n v="89.99"/>
    <n v="89.99"/>
    <n v="8.9990000000000006"/>
    <n v="0.1"/>
  </r>
  <r>
    <s v="TRX0208"/>
    <d v="2024-06-03T00:00:00"/>
    <s v="CUST004"/>
    <s v="Sarah Davis"/>
    <s v="P010"/>
    <x v="8"/>
    <s v="Electronics"/>
    <n v="5"/>
    <n v="89.99"/>
    <s v="Credit Card"/>
    <x v="4"/>
    <s v="Standard"/>
    <d v="2022-01-26T00:00:00"/>
    <n v="449.95"/>
    <n v="449.95"/>
    <n v="44.995000000000005"/>
    <n v="0.1"/>
  </r>
  <r>
    <s v="TRX0234"/>
    <d v="2024-06-06T00:00:00"/>
    <s v="CUST013"/>
    <s v="Joseph Jackson"/>
    <s v="P009"/>
    <x v="0"/>
    <s v="Electronics"/>
    <n v="5"/>
    <n v="249.99"/>
    <s v="Credit Card"/>
    <x v="4"/>
    <s v="Standard"/>
    <d v="2022-05-26T00:00:00"/>
    <n v="1249.95"/>
    <n v="1249.95"/>
    <n v="124.995"/>
    <n v="0.1"/>
  </r>
  <r>
    <s v="TRX0121"/>
    <d v="2024-06-06T00:00:00"/>
    <s v="CUST028"/>
    <s v="Betty Campbell"/>
    <s v="P010"/>
    <x v="8"/>
    <s v="Electronics"/>
    <n v="1"/>
    <n v="89.99"/>
    <s v="Credit Card"/>
    <x v="1"/>
    <s v="Standard"/>
    <d v="2022-01-21T00:00:00"/>
    <n v="89.99"/>
    <n v="89.99"/>
    <n v="8.9990000000000006"/>
    <n v="0.1"/>
  </r>
  <r>
    <s v="TRX0220"/>
    <d v="2024-06-07T00:00:00"/>
    <s v="CUST003"/>
    <s v="Michael Brown"/>
    <s v="P008"/>
    <x v="2"/>
    <s v="Furniture"/>
    <n v="2"/>
    <n v="149.99"/>
    <s v="Cash"/>
    <x v="4"/>
    <s v="Premium"/>
    <d v="2022-03-25T00:00:00"/>
    <n v="299.98"/>
    <n v="299.98"/>
    <n v="29.998000000000005"/>
    <n v="0.1"/>
  </r>
  <r>
    <s v="TRX0093"/>
    <d v="2024-06-09T00:00:00"/>
    <s v="CUST050"/>
    <s v="Julie Foster"/>
    <s v="P005"/>
    <x v="1"/>
    <s v="Appliances"/>
    <n v="4"/>
    <n v="59.99"/>
    <s v="Cash"/>
    <x v="4"/>
    <s v="Standard"/>
    <d v="2021-08-27T00:00:00"/>
    <n v="239.96"/>
    <n v="239.96"/>
    <n v="23.996000000000002"/>
    <n v="0.1"/>
  </r>
  <r>
    <s v="TRX0088"/>
    <d v="2024-06-13T00:00:00"/>
    <s v="CUST006"/>
    <s v="Lisa Anderson"/>
    <s v="P010"/>
    <x v="8"/>
    <s v="Electronics"/>
    <n v="5"/>
    <n v="89.99"/>
    <s v="Cash"/>
    <x v="0"/>
    <s v="Premium"/>
    <d v="2022-01-18T00:00:00"/>
    <n v="449.95"/>
    <n v="449.95"/>
    <n v="44.995000000000005"/>
    <n v="0.1"/>
  </r>
  <r>
    <s v="TRX0115"/>
    <d v="2024-06-16T00:00:00"/>
    <s v="CUST012"/>
    <s v="Patricia Moore"/>
    <s v="P010"/>
    <x v="8"/>
    <s v="Electronics"/>
    <n v="2"/>
    <n v="89.99"/>
    <s v="Credit Card"/>
    <x v="1"/>
    <s v="Premium"/>
    <d v="2021-10-02T00:00:00"/>
    <n v="179.98"/>
    <n v="179.98"/>
    <n v="17.998000000000001"/>
    <n v="0.1"/>
  </r>
  <r>
    <s v="TRX0154"/>
    <d v="2024-06-16T00:00:00"/>
    <s v="CUST023"/>
    <s v="Paul Baker"/>
    <s v="P001"/>
    <x v="4"/>
    <s v="Electronics"/>
    <n v="5"/>
    <n v="899.99"/>
    <s v="Credit Card"/>
    <x v="1"/>
    <s v="Standard"/>
    <d v="2023-02-17T00:00:00"/>
    <n v="4499.95"/>
    <n v="4499.95"/>
    <n v="449.995"/>
    <n v="0.1"/>
  </r>
  <r>
    <s v="TRX0044"/>
    <d v="2024-06-16T00:00:00"/>
    <s v="CUST029"/>
    <s v="Edward Mitchell"/>
    <s v="P001"/>
    <x v="4"/>
    <s v="Electronics"/>
    <n v="5"/>
    <n v="899.99"/>
    <s v="PayPal"/>
    <x v="4"/>
    <s v="Premium"/>
    <d v="2023-12-18T00:00:00"/>
    <n v="4499.95"/>
    <n v="4499.95"/>
    <n v="449.995"/>
    <n v="0.1"/>
  </r>
  <r>
    <s v="TRX0061"/>
    <d v="2024-06-17T00:00:00"/>
    <s v="CUST028"/>
    <s v="Betty Campbell"/>
    <s v="P005"/>
    <x v="1"/>
    <s v="Appliances"/>
    <n v="1"/>
    <n v="59.99"/>
    <s v="Debit Card"/>
    <x v="3"/>
    <s v="Premium"/>
    <d v="2023-09-21T00:00:00"/>
    <n v="59.99"/>
    <n v="59.99"/>
    <n v="5.9990000000000006"/>
    <n v="0.1"/>
  </r>
  <r>
    <s v="TRX0150"/>
    <d v="2024-06-17T00:00:00"/>
    <s v="CUST008"/>
    <s v="Jennifer Taylor"/>
    <s v="P007"/>
    <x v="6"/>
    <s v="Furniture"/>
    <n v="2"/>
    <n v="299.99"/>
    <s v="Debit Card"/>
    <x v="4"/>
    <s v="Standard"/>
    <d v="2023-11-23T00:00:00"/>
    <n v="599.98"/>
    <n v="599.98"/>
    <n v="59.998000000000005"/>
    <n v="0.1"/>
  </r>
  <r>
    <s v="TRX0025"/>
    <d v="2024-06-25T00:00:00"/>
    <s v="CUST049"/>
    <s v="Raymond Ross"/>
    <s v="P010"/>
    <x v="8"/>
    <s v="Electronics"/>
    <n v="4"/>
    <n v="89.99"/>
    <s v="Debit Card"/>
    <x v="1"/>
    <s v="Basic"/>
    <d v="2023-12-21T00:00:00"/>
    <n v="359.96"/>
    <n v="359.96"/>
    <n v="35.996000000000002"/>
    <n v="0.1"/>
  </r>
  <r>
    <s v="TRX0078"/>
    <d v="2024-06-26T00:00:00"/>
    <s v="CUST021"/>
    <s v="Kevin Scott"/>
    <s v="P004"/>
    <x v="7"/>
    <s v="Appliances"/>
    <n v="1"/>
    <n v="79.989999999999995"/>
    <s v="PayPal"/>
    <x v="0"/>
    <s v="Premium"/>
    <d v="2024-03-01T00:00:00"/>
    <n v="79.989999999999995"/>
    <n v="79.989999999999995"/>
    <n v="7.9989999999999997"/>
    <n v="0.1"/>
  </r>
  <r>
    <s v="TRX0007"/>
    <d v="2024-06-26T00:00:00"/>
    <s v="CUST009"/>
    <s v="Robert Thomas"/>
    <s v="P010"/>
    <x v="8"/>
    <s v="Electronics"/>
    <n v="2"/>
    <n v="89.99"/>
    <s v="Cash"/>
    <x v="3"/>
    <s v="Basic"/>
    <d v="2021-08-30T00:00:00"/>
    <n v="179.98"/>
    <n v="179.98"/>
    <n v="17.998000000000001"/>
    <n v="0.1"/>
  </r>
  <r>
    <s v="TRX0184"/>
    <d v="2024-06-28T00:00:00"/>
    <s v="CUST046"/>
    <s v="Kathleen Bennett"/>
    <s v="P002"/>
    <x v="5"/>
    <s v="Electronics"/>
    <n v="3"/>
    <n v="699.99"/>
    <s v="Credit Card"/>
    <x v="4"/>
    <s v="Premium"/>
    <d v="2023-06-25T00:00:00"/>
    <n v="2099.9699999999998"/>
    <n v="2099.9699999999998"/>
    <n v="209.99699999999999"/>
    <n v="0.1"/>
  </r>
  <r>
    <s v="TRX0104"/>
    <d v="2024-06-28T00:00:00"/>
    <s v="CUST012"/>
    <s v="Patricia Moore"/>
    <s v="P001"/>
    <x v="4"/>
    <s v="Electronics"/>
    <n v="4"/>
    <n v="899.99"/>
    <s v="Credit Card"/>
    <x v="4"/>
    <s v="Premium"/>
    <d v="2023-03-08T00:00:00"/>
    <n v="3599.96"/>
    <n v="3599.96"/>
    <n v="359.99600000000004"/>
    <n v="0.1"/>
  </r>
  <r>
    <s v="TRX0127"/>
    <d v="2024-06-29T00:00:00"/>
    <s v="CUST030"/>
    <s v="Helen Roberts"/>
    <s v="P008"/>
    <x v="2"/>
    <s v="Furniture"/>
    <n v="1"/>
    <n v="149.99"/>
    <s v="PayPal"/>
    <x v="4"/>
    <s v="Basic"/>
    <d v="2022-10-17T00:00:00"/>
    <n v="149.99"/>
    <n v="149.99"/>
    <n v="14.999000000000002"/>
    <n v="0.1"/>
  </r>
  <r>
    <s v="TRX0096"/>
    <d v="2024-07-01T00:00:00"/>
    <s v="CUST002"/>
    <s v="Emma Wilson"/>
    <s v="P010"/>
    <x v="8"/>
    <s v="Electronics"/>
    <n v="2"/>
    <n v="89.99"/>
    <s v="PayPal"/>
    <x v="0"/>
    <s v="Premium"/>
    <d v="2023-12-15T00:00:00"/>
    <n v="179.98"/>
    <n v="179.98"/>
    <n v="17.998000000000001"/>
    <n v="0.1"/>
  </r>
  <r>
    <s v="TRX0192"/>
    <d v="2024-07-02T00:00:00"/>
    <s v="CUST017"/>
    <s v="Charles Allen"/>
    <s v="P010"/>
    <x v="8"/>
    <s v="Electronics"/>
    <n v="1"/>
    <n v="89.99"/>
    <s v="PayPal"/>
    <x v="3"/>
    <s v="Standard"/>
    <d v="2022-08-29T00:00:00"/>
    <n v="89.99"/>
    <n v="89.99"/>
    <n v="8.9990000000000006"/>
    <n v="0.1"/>
  </r>
  <r>
    <s v="TRX0052"/>
    <d v="2024-07-03T00:00:00"/>
    <s v="CUST022"/>
    <s v="Susan Green"/>
    <s v="P010"/>
    <x v="8"/>
    <s v="Electronics"/>
    <n v="1"/>
    <n v="89.99"/>
    <s v="Cash"/>
    <x v="1"/>
    <s v="Standard"/>
    <d v="2022-02-19T00:00:00"/>
    <n v="89.99"/>
    <n v="89.99"/>
    <n v="8.9990000000000006"/>
    <n v="0.1"/>
  </r>
  <r>
    <s v="TRX0070"/>
    <d v="2024-07-03T00:00:00"/>
    <s v="CUST007"/>
    <s v="David Martinez"/>
    <s v="P004"/>
    <x v="7"/>
    <s v="Appliances"/>
    <n v="5"/>
    <n v="79.989999999999995"/>
    <s v="Debit Card"/>
    <x v="0"/>
    <s v="Basic"/>
    <d v="2023-02-24T00:00:00"/>
    <n v="399.95"/>
    <n v="399.95"/>
    <n v="39.995000000000005"/>
    <n v="0.1"/>
  </r>
  <r>
    <s v="TRX0086"/>
    <d v="2024-07-08T00:00:00"/>
    <s v="CUST020"/>
    <s v="Margaret Wright"/>
    <s v="P008"/>
    <x v="2"/>
    <s v="Furniture"/>
    <n v="1"/>
    <n v="149.99"/>
    <s v="PayPal"/>
    <x v="2"/>
    <s v="Basic"/>
    <d v="2021-08-13T00:00:00"/>
    <n v="149.99"/>
    <n v="149.99"/>
    <n v="14.999000000000002"/>
    <n v="0.1"/>
  </r>
  <r>
    <s v="TRX0113"/>
    <d v="2024-07-08T00:00:00"/>
    <s v="CUST003"/>
    <s v="Michael Brown"/>
    <s v="P002"/>
    <x v="5"/>
    <s v="Electronics"/>
    <n v="2"/>
    <n v="699.99"/>
    <s v="PayPal"/>
    <x v="4"/>
    <s v="Premium"/>
    <d v="2024-04-07T00:00:00"/>
    <n v="1399.98"/>
    <n v="1399.98"/>
    <n v="139.99800000000002"/>
    <n v="0.1"/>
  </r>
  <r>
    <s v="TRX0114"/>
    <d v="2024-07-08T00:00:00"/>
    <s v="CUST018"/>
    <s v="Barbara Young"/>
    <s v="P010"/>
    <x v="8"/>
    <s v="Electronics"/>
    <n v="5"/>
    <n v="89.99"/>
    <s v="Debit Card"/>
    <x v="2"/>
    <s v="Premium"/>
    <d v="2023-08-23T00:00:00"/>
    <n v="449.95"/>
    <n v="449.95"/>
    <n v="44.995000000000005"/>
    <n v="0.1"/>
  </r>
  <r>
    <s v="TRX0136"/>
    <d v="2024-07-09T00:00:00"/>
    <s v="CUST049"/>
    <s v="Raymond Ross"/>
    <s v="P005"/>
    <x v="1"/>
    <s v="Appliances"/>
    <n v="4"/>
    <n v="59.99"/>
    <s v="Cash"/>
    <x v="1"/>
    <s v="Standard"/>
    <d v="2021-11-09T00:00:00"/>
    <n v="239.96"/>
    <n v="239.96"/>
    <n v="23.996000000000002"/>
    <n v="0.1"/>
  </r>
  <r>
    <s v="TRX0018"/>
    <d v="2024-07-11T00:00:00"/>
    <s v="CUST013"/>
    <s v="Joseph Jackson"/>
    <s v="P003"/>
    <x v="3"/>
    <s v="Electronics"/>
    <n v="1"/>
    <n v="149.99"/>
    <s v="Cash"/>
    <x v="0"/>
    <s v="Standard"/>
    <d v="2022-12-14T00:00:00"/>
    <n v="149.99"/>
    <n v="149.99"/>
    <n v="14.999000000000002"/>
    <n v="0.1"/>
  </r>
  <r>
    <s v="TRX0141"/>
    <d v="2024-07-11T00:00:00"/>
    <s v="CUST033"/>
    <s v="Frank Torres"/>
    <s v="P007"/>
    <x v="6"/>
    <s v="Furniture"/>
    <n v="1"/>
    <n v="299.99"/>
    <s v="Credit Card"/>
    <x v="2"/>
    <s v="Premium"/>
    <d v="2022-11-26T00:00:00"/>
    <n v="299.99"/>
    <n v="299.99"/>
    <n v="29.999000000000002"/>
    <n v="0.1"/>
  </r>
  <r>
    <s v="TRX0097"/>
    <d v="2024-07-14T00:00:00"/>
    <s v="CUST033"/>
    <s v="Frank Torres"/>
    <s v="P006"/>
    <x v="9"/>
    <s v="Furniture"/>
    <n v="2"/>
    <n v="199.99"/>
    <s v="Cash"/>
    <x v="2"/>
    <s v="Basic"/>
    <d v="2021-12-11T00:00:00"/>
    <n v="399.98"/>
    <n v="399.98"/>
    <n v="39.998000000000005"/>
    <n v="0.1"/>
  </r>
  <r>
    <s v="TRX0169"/>
    <d v="2024-07-17T00:00:00"/>
    <s v="CUST047"/>
    <s v="Gerald Murphy"/>
    <s v="P005"/>
    <x v="1"/>
    <s v="Appliances"/>
    <n v="3"/>
    <n v="59.99"/>
    <s v="Credit Card"/>
    <x v="3"/>
    <s v="Basic"/>
    <d v="2023-07-23T00:00:00"/>
    <n v="179.97"/>
    <n v="179.97"/>
    <n v="17.997"/>
    <n v="0.1"/>
  </r>
  <r>
    <s v="TRX0216"/>
    <d v="2024-07-17T00:00:00"/>
    <s v="CUST041"/>
    <s v="Peter Richardson"/>
    <s v="P008"/>
    <x v="2"/>
    <s v="Furniture"/>
    <n v="3"/>
    <n v="149.99"/>
    <s v="Cash"/>
    <x v="0"/>
    <s v="Premium"/>
    <d v="2023-09-30T00:00:00"/>
    <n v="449.97"/>
    <n v="449.97"/>
    <n v="44.997000000000007"/>
    <n v="0.1"/>
  </r>
  <r>
    <s v="TRX0131"/>
    <d v="2024-07-18T00:00:00"/>
    <s v="CUST026"/>
    <s v="Karen Hill"/>
    <s v="P006"/>
    <x v="9"/>
    <s v="Furniture"/>
    <n v="3"/>
    <n v="199.99"/>
    <s v="Cash"/>
    <x v="2"/>
    <s v="Premium"/>
    <d v="2023-11-24T00:00:00"/>
    <n v="599.97"/>
    <n v="599.97"/>
    <n v="59.997000000000007"/>
    <n v="0.1"/>
  </r>
  <r>
    <s v="TRX0162"/>
    <d v="2024-07-23T00:00:00"/>
    <s v="CUST040"/>
    <s v="Sharon Butler"/>
    <s v="P001"/>
    <x v="4"/>
    <s v="Electronics"/>
    <n v="1"/>
    <n v="899.99"/>
    <s v="Cash"/>
    <x v="0"/>
    <s v="Standard"/>
    <d v="2023-09-10T00:00:00"/>
    <n v="899.99"/>
    <n v="899.99"/>
    <n v="89.999000000000009"/>
    <n v="0.1"/>
  </r>
  <r>
    <s v="TRX0244"/>
    <d v="2024-07-24T00:00:00"/>
    <s v="CUST013"/>
    <s v="Joseph Jackson"/>
    <s v="P001"/>
    <x v="4"/>
    <s v="Electronics"/>
    <n v="5"/>
    <n v="899.99"/>
    <s v="Debit Card"/>
    <x v="1"/>
    <s v="Standard"/>
    <d v="2022-12-04T00:00:00"/>
    <n v="4499.95"/>
    <n v="4499.95"/>
    <n v="449.995"/>
    <n v="0.1"/>
  </r>
  <r>
    <s v="TRX0006"/>
    <d v="2024-07-25T00:00:00"/>
    <s v="CUST007"/>
    <s v="David Martinez"/>
    <s v="P005"/>
    <x v="1"/>
    <s v="Appliances"/>
    <n v="2"/>
    <n v="59.99"/>
    <s v="Cash"/>
    <x v="2"/>
    <s v="Standard"/>
    <d v="2023-08-14T00:00:00"/>
    <n v="119.98"/>
    <n v="119.98"/>
    <n v="11.998000000000001"/>
    <n v="0.1"/>
  </r>
  <r>
    <s v="TRX0215"/>
    <d v="2024-07-25T00:00:00"/>
    <s v="CUST047"/>
    <s v="Gerald Murphy"/>
    <s v="P009"/>
    <x v="0"/>
    <s v="Electronics"/>
    <n v="4"/>
    <n v="249.99"/>
    <s v="Debit Card"/>
    <x v="0"/>
    <s v="Standard"/>
    <d v="2023-07-20T00:00:00"/>
    <n v="999.96"/>
    <n v="999.96"/>
    <n v="99.996000000000009"/>
    <n v="0.1"/>
  </r>
  <r>
    <s v="TRX0080"/>
    <d v="2024-07-27T00:00:00"/>
    <s v="CUST018"/>
    <s v="Barbara Young"/>
    <s v="P009"/>
    <x v="0"/>
    <s v="Electronics"/>
    <n v="2"/>
    <n v="249.99"/>
    <s v="Cash"/>
    <x v="2"/>
    <s v="Premium"/>
    <d v="2023-08-26T00:00:00"/>
    <n v="499.98"/>
    <n v="499.98"/>
    <n v="49.998000000000005"/>
    <n v="0.1"/>
  </r>
  <r>
    <s v="TRX0228"/>
    <d v="2024-07-27T00:00:00"/>
    <s v="CUST019"/>
    <s v="Daniel King"/>
    <s v="P007"/>
    <x v="6"/>
    <s v="Furniture"/>
    <n v="1"/>
    <n v="299.99"/>
    <s v="Cash"/>
    <x v="1"/>
    <s v="Basic"/>
    <d v="2023-02-25T00:00:00"/>
    <n v="299.99"/>
    <n v="299.99"/>
    <n v="29.999000000000002"/>
    <n v="0.1"/>
  </r>
  <r>
    <s v="TRX0157"/>
    <d v="2024-07-28T00:00:00"/>
    <s v="CUST025"/>
    <s v="Mark Carter"/>
    <s v="P010"/>
    <x v="8"/>
    <s v="Electronics"/>
    <n v="2"/>
    <n v="89.99"/>
    <s v="PayPal"/>
    <x v="1"/>
    <s v="Basic"/>
    <d v="2023-02-19T00:00:00"/>
    <n v="179.98"/>
    <n v="179.98"/>
    <n v="17.998000000000001"/>
    <n v="0.1"/>
  </r>
  <r>
    <s v="TRX0002"/>
    <d v="2024-07-28T00:00:00"/>
    <s v="CUST019"/>
    <s v="Daniel King"/>
    <s v="P007"/>
    <x v="6"/>
    <s v="Furniture"/>
    <n v="3"/>
    <n v="299.99"/>
    <s v="Cash"/>
    <x v="0"/>
    <s v="Basic"/>
    <d v="2022-06-20T00:00:00"/>
    <n v="899.97"/>
    <n v="899.97"/>
    <n v="89.997000000000014"/>
    <n v="0.1"/>
  </r>
  <r>
    <s v="TRX0217"/>
    <d v="2024-07-30T00:00:00"/>
    <s v="CUST025"/>
    <s v="Mark Carter"/>
    <s v="P002"/>
    <x v="5"/>
    <s v="Electronics"/>
    <n v="2"/>
    <n v="699.99"/>
    <s v="Credit Card"/>
    <x v="2"/>
    <s v="Premium"/>
    <d v="2023-03-14T00:00:00"/>
    <n v="1399.98"/>
    <n v="1399.98"/>
    <n v="139.99800000000002"/>
    <n v="0.1"/>
  </r>
  <r>
    <s v="TRX0249"/>
    <d v="2024-07-31T00:00:00"/>
    <s v="CUST030"/>
    <s v="Helen Roberts"/>
    <s v="P001"/>
    <x v="4"/>
    <s v="Electronics"/>
    <n v="4"/>
    <n v="899.99"/>
    <s v="Debit Card"/>
    <x v="1"/>
    <s v="Standard"/>
    <d v="2021-11-23T00:00:00"/>
    <n v="3599.96"/>
    <n v="3599.96"/>
    <n v="359.99600000000004"/>
    <n v="0.1"/>
  </r>
  <r>
    <s v="TRX0065"/>
    <d v="2024-08-05T00:00:00"/>
    <s v="CUST016"/>
    <s v="Elizabeth Hall"/>
    <s v="P008"/>
    <x v="2"/>
    <s v="Furniture"/>
    <n v="2"/>
    <n v="149.99"/>
    <s v="Credit Card"/>
    <x v="3"/>
    <s v="Basic"/>
    <d v="2021-12-12T00:00:00"/>
    <n v="299.98"/>
    <n v="299.98"/>
    <n v="29.998000000000005"/>
    <n v="0.1"/>
  </r>
  <r>
    <s v="TRX0176"/>
    <d v="2024-08-06T00:00:00"/>
    <s v="CUST044"/>
    <s v="Cynthia Price"/>
    <s v="P008"/>
    <x v="2"/>
    <s v="Furniture"/>
    <n v="2"/>
    <n v="149.99"/>
    <s v="Debit Card"/>
    <x v="4"/>
    <s v="Standard"/>
    <d v="2022-04-16T00:00:00"/>
    <n v="299.98"/>
    <n v="299.98"/>
    <n v="29.998000000000005"/>
    <n v="0.1"/>
  </r>
  <r>
    <s v="TRX0101"/>
    <d v="2024-08-09T00:00:00"/>
    <s v="CUST010"/>
    <s v="Maria Garcia"/>
    <s v="P010"/>
    <x v="8"/>
    <s v="Electronics"/>
    <n v="1"/>
    <n v="89.99"/>
    <s v="Credit Card"/>
    <x v="2"/>
    <s v="Standard"/>
    <d v="2024-04-11T00:00:00"/>
    <n v="89.99"/>
    <n v="89.99"/>
    <n v="8.9990000000000006"/>
    <n v="0.1"/>
  </r>
  <r>
    <s v="TRX0205"/>
    <d v="2024-08-11T00:00:00"/>
    <s v="CUST025"/>
    <s v="Mark Carter"/>
    <s v="P007"/>
    <x v="6"/>
    <s v="Furniture"/>
    <n v="5"/>
    <n v="299.99"/>
    <s v="Credit Card"/>
    <x v="2"/>
    <s v="Basic"/>
    <d v="2023-02-08T00:00:00"/>
    <n v="1499.95"/>
    <n v="1499.95"/>
    <n v="149.995"/>
    <n v="0.1"/>
  </r>
  <r>
    <s v="TRX0020"/>
    <d v="2024-08-13T00:00:00"/>
    <s v="CUST007"/>
    <s v="David Martinez"/>
    <s v="P003"/>
    <x v="3"/>
    <s v="Electronics"/>
    <n v="4"/>
    <n v="149.99"/>
    <s v="Debit Card"/>
    <x v="1"/>
    <s v="Premium"/>
    <d v="2022-09-16T00:00:00"/>
    <n v="599.96"/>
    <n v="599.96"/>
    <n v="59.996000000000009"/>
    <n v="0.1"/>
  </r>
  <r>
    <s v="TRX0075"/>
    <d v="2024-08-13T00:00:00"/>
    <s v="CUST020"/>
    <s v="Margaret Wright"/>
    <s v="P009"/>
    <x v="0"/>
    <s v="Electronics"/>
    <n v="5"/>
    <n v="249.99"/>
    <s v="PayPal"/>
    <x v="4"/>
    <s v="Premium"/>
    <d v="2022-08-09T00:00:00"/>
    <n v="1249.95"/>
    <n v="1249.95"/>
    <n v="124.995"/>
    <n v="0.1"/>
  </r>
  <r>
    <s v="TRX0098"/>
    <d v="2024-08-13T00:00:00"/>
    <s v="CUST026"/>
    <s v="Karen Hill"/>
    <s v="P009"/>
    <x v="0"/>
    <s v="Electronics"/>
    <n v="3"/>
    <n v="249.99"/>
    <s v="PayPal"/>
    <x v="2"/>
    <s v="Premium"/>
    <d v="2021-09-26T00:00:00"/>
    <n v="749.97"/>
    <n v="749.97"/>
    <n v="74.997"/>
    <n v="0.1"/>
  </r>
  <r>
    <s v="TRX0247"/>
    <d v="2024-08-13T00:00:00"/>
    <s v="CUST046"/>
    <s v="Kathleen Bennett"/>
    <s v="P006"/>
    <x v="9"/>
    <s v="Furniture"/>
    <n v="4"/>
    <n v="199.99"/>
    <s v="Cash"/>
    <x v="2"/>
    <s v="Standard"/>
    <d v="2021-09-19T00:00:00"/>
    <n v="799.96"/>
    <n v="799.96"/>
    <n v="79.996000000000009"/>
    <n v="0.1"/>
  </r>
  <r>
    <s v="TRX0027"/>
    <d v="2024-08-15T00:00:00"/>
    <s v="CUST028"/>
    <s v="Betty Campbell"/>
    <s v="P006"/>
    <x v="9"/>
    <s v="Furniture"/>
    <n v="5"/>
    <n v="199.99"/>
    <s v="Cash"/>
    <x v="2"/>
    <s v="Premium"/>
    <d v="2023-03-06T00:00:00"/>
    <n v="999.95"/>
    <n v="999.95"/>
    <n v="99.995000000000005"/>
    <n v="0.1"/>
  </r>
  <r>
    <s v="TRX0140"/>
    <d v="2024-08-18T00:00:00"/>
    <s v="CUST025"/>
    <s v="Mark Carter"/>
    <s v="P010"/>
    <x v="8"/>
    <s v="Electronics"/>
    <n v="2"/>
    <n v="89.99"/>
    <s v="Cash"/>
    <x v="4"/>
    <s v="Premium"/>
    <d v="2023-02-15T00:00:00"/>
    <n v="179.98"/>
    <n v="179.98"/>
    <n v="17.998000000000001"/>
    <n v="0.1"/>
  </r>
  <r>
    <s v="TRX0132"/>
    <d v="2024-08-19T00:00:00"/>
    <s v="CUST047"/>
    <s v="Gerald Murphy"/>
    <s v="P001"/>
    <x v="4"/>
    <s v="Electronics"/>
    <n v="5"/>
    <n v="899.99"/>
    <s v="Debit Card"/>
    <x v="4"/>
    <s v="Basic"/>
    <d v="2021-11-26T00:00:00"/>
    <n v="4499.95"/>
    <n v="4499.95"/>
    <n v="449.995"/>
    <n v="0.1"/>
  </r>
  <r>
    <s v="TRX0031"/>
    <d v="2024-08-19T00:00:00"/>
    <s v="CUST036"/>
    <s v="Nancy Collins"/>
    <s v="P003"/>
    <x v="3"/>
    <s v="Electronics"/>
    <n v="3"/>
    <n v="149.99"/>
    <s v="PayPal"/>
    <x v="4"/>
    <s v="Basic"/>
    <d v="2022-01-13T00:00:00"/>
    <n v="449.97"/>
    <n v="449.97"/>
    <n v="44.997000000000007"/>
    <n v="0.1"/>
  </r>
  <r>
    <s v="TRX0236"/>
    <d v="2024-08-22T00:00:00"/>
    <s v="CUST044"/>
    <s v="Cynthia Price"/>
    <s v="P008"/>
    <x v="2"/>
    <s v="Furniture"/>
    <n v="5"/>
    <n v="149.99"/>
    <s v="Credit Card"/>
    <x v="0"/>
    <s v="Basic"/>
    <d v="2024-01-19T00:00:00"/>
    <n v="749.95"/>
    <n v="749.95"/>
    <n v="74.995000000000005"/>
    <n v="0.1"/>
  </r>
  <r>
    <s v="TRX0001"/>
    <d v="2024-08-24T00:00:00"/>
    <s v="CUST039"/>
    <s v="Lawrence Reed"/>
    <s v="P004"/>
    <x v="7"/>
    <s v="Appliances"/>
    <n v="3"/>
    <n v="79.989999999999995"/>
    <s v="Cash"/>
    <x v="0"/>
    <s v="Premium"/>
    <d v="2022-08-06T00:00:00"/>
    <n v="239.97"/>
    <n v="239.97"/>
    <n v="23.997"/>
    <n v="0.1"/>
  </r>
  <r>
    <s v="TRX0037"/>
    <d v="2024-08-24T00:00:00"/>
    <s v="CUST035"/>
    <s v="Harry Morgan"/>
    <s v="P009"/>
    <x v="0"/>
    <s v="Electronics"/>
    <n v="2"/>
    <n v="249.99"/>
    <s v="Cash"/>
    <x v="1"/>
    <s v="Standard"/>
    <d v="2022-01-11T00:00:00"/>
    <n v="499.98"/>
    <n v="499.98"/>
    <n v="49.998000000000005"/>
    <n v="0.1"/>
  </r>
  <r>
    <s v="TRX0058"/>
    <d v="2024-08-28T00:00:00"/>
    <s v="CUST047"/>
    <s v="Gerald Murphy"/>
    <s v="P002"/>
    <x v="5"/>
    <s v="Electronics"/>
    <n v="1"/>
    <n v="699.99"/>
    <s v="Cash"/>
    <x v="0"/>
    <s v="Premium"/>
    <d v="2021-10-28T00:00:00"/>
    <n v="699.99"/>
    <n v="699.99"/>
    <n v="69.999000000000009"/>
    <n v="0.1"/>
  </r>
  <r>
    <s v="TRX0170"/>
    <d v="2024-08-28T00:00:00"/>
    <s v="CUST034"/>
    <s v="Carol Evans"/>
    <s v="P003"/>
    <x v="3"/>
    <s v="Electronics"/>
    <n v="3"/>
    <n v="149.99"/>
    <s v="Cash"/>
    <x v="3"/>
    <s v="Premium"/>
    <d v="2023-10-13T00:00:00"/>
    <n v="449.97"/>
    <n v="449.97"/>
    <n v="44.997000000000007"/>
    <n v="0.1"/>
  </r>
  <r>
    <s v="TRX0248"/>
    <d v="2024-08-30T00:00:00"/>
    <s v="CUST032"/>
    <s v="Sandra Phillips"/>
    <s v="P002"/>
    <x v="5"/>
    <s v="Electronics"/>
    <n v="2"/>
    <n v="699.99"/>
    <s v="Credit Card"/>
    <x v="2"/>
    <s v="Premium"/>
    <d v="2021-08-13T00:00:00"/>
    <n v="1399.98"/>
    <n v="1399.98"/>
    <n v="139.99800000000002"/>
    <n v="0.1"/>
  </r>
  <r>
    <s v="TRX0099"/>
    <d v="2024-09-02T00:00:00"/>
    <s v="CUST034"/>
    <s v="Carol Evans"/>
    <s v="P009"/>
    <x v="0"/>
    <s v="Electronics"/>
    <n v="1"/>
    <n v="249.99"/>
    <s v="Credit Card"/>
    <x v="3"/>
    <s v="Premium"/>
    <d v="2022-05-04T00:00:00"/>
    <n v="249.99"/>
    <n v="249.99"/>
    <n v="24.999000000000002"/>
    <n v="0.1"/>
  </r>
  <r>
    <s v="TRX0074"/>
    <d v="2024-09-02T00:00:00"/>
    <s v="CUST023"/>
    <s v="Paul Baker"/>
    <s v="P009"/>
    <x v="0"/>
    <s v="Electronics"/>
    <n v="1"/>
    <n v="249.99"/>
    <s v="Debit Card"/>
    <x v="2"/>
    <s v="Premium"/>
    <d v="2024-02-10T00:00:00"/>
    <n v="249.99"/>
    <n v="249.99"/>
    <n v="24.999000000000002"/>
    <n v="0.1"/>
  </r>
  <r>
    <s v="TRX0225"/>
    <d v="2024-09-03T00:00:00"/>
    <s v="CUST039"/>
    <s v="Lawrence Reed"/>
    <s v="P002"/>
    <x v="5"/>
    <s v="Electronics"/>
    <n v="2"/>
    <n v="699.99"/>
    <s v="Debit Card"/>
    <x v="0"/>
    <s v="Premium"/>
    <d v="2022-11-05T00:00:00"/>
    <n v="1399.98"/>
    <n v="1399.98"/>
    <n v="139.99800000000002"/>
    <n v="0.1"/>
  </r>
  <r>
    <s v="TRX0100"/>
    <d v="2024-09-06T00:00:00"/>
    <s v="CUST031"/>
    <s v="Steven Turner"/>
    <s v="P005"/>
    <x v="1"/>
    <s v="Appliances"/>
    <n v="3"/>
    <n v="59.99"/>
    <s v="Credit Card"/>
    <x v="0"/>
    <s v="Premium"/>
    <d v="2022-06-05T00:00:00"/>
    <n v="179.97"/>
    <n v="179.97"/>
    <n v="17.997"/>
    <n v="0.1"/>
  </r>
  <r>
    <s v="TRX0142"/>
    <d v="2024-09-09T00:00:00"/>
    <s v="CUST002"/>
    <s v="Emma Wilson"/>
    <s v="P005"/>
    <x v="1"/>
    <s v="Appliances"/>
    <n v="3"/>
    <n v="59.99"/>
    <s v="PayPal"/>
    <x v="4"/>
    <s v="Standard"/>
    <d v="2022-07-06T00:00:00"/>
    <n v="179.97"/>
    <n v="179.97"/>
    <n v="17.997"/>
    <n v="0.1"/>
  </r>
  <r>
    <s v="TRX0112"/>
    <d v="2024-09-09T00:00:00"/>
    <s v="CUST008"/>
    <s v="Jennifer Taylor"/>
    <s v="P004"/>
    <x v="7"/>
    <s v="Appliances"/>
    <n v="4"/>
    <n v="79.989999999999995"/>
    <s v="Cash"/>
    <x v="2"/>
    <s v="Basic"/>
    <d v="2021-11-30T00:00:00"/>
    <n v="319.95999999999998"/>
    <n v="319.95999999999998"/>
    <n v="31.995999999999999"/>
    <n v="0.1"/>
  </r>
  <r>
    <s v="TRX0161"/>
    <d v="2024-09-10T00:00:00"/>
    <s v="CUST017"/>
    <s v="Charles Allen"/>
    <s v="P004"/>
    <x v="7"/>
    <s v="Appliances"/>
    <n v="1"/>
    <n v="79.989999999999995"/>
    <s v="Cash"/>
    <x v="3"/>
    <s v="Basic"/>
    <d v="2022-05-12T00:00:00"/>
    <n v="79.989999999999995"/>
    <n v="79.989999999999995"/>
    <n v="7.9989999999999997"/>
    <n v="0.1"/>
  </r>
  <r>
    <s v="TRX0108"/>
    <d v="2024-09-12T00:00:00"/>
    <s v="CUST024"/>
    <s v="Dorothy Nelson"/>
    <s v="P007"/>
    <x v="6"/>
    <s v="Furniture"/>
    <n v="3"/>
    <n v="299.99"/>
    <s v="Credit Card"/>
    <x v="0"/>
    <s v="Premium"/>
    <d v="2021-10-25T00:00:00"/>
    <n v="899.97"/>
    <n v="899.97"/>
    <n v="89.997000000000014"/>
    <n v="0.1"/>
  </r>
  <r>
    <s v="TRX0211"/>
    <d v="2024-09-13T00:00:00"/>
    <s v="CUST046"/>
    <s v="Kathleen Bennett"/>
    <s v="P010"/>
    <x v="8"/>
    <s v="Electronics"/>
    <n v="2"/>
    <n v="89.99"/>
    <s v="Credit Card"/>
    <x v="1"/>
    <s v="Premium"/>
    <d v="2022-03-21T00:00:00"/>
    <n v="179.98"/>
    <n v="179.98"/>
    <n v="17.998000000000001"/>
    <n v="0.1"/>
  </r>
  <r>
    <s v="TRX0005"/>
    <d v="2024-09-15T00:00:00"/>
    <s v="CUST042"/>
    <s v="Ruth Brooks"/>
    <s v="P003"/>
    <x v="3"/>
    <s v="Electronics"/>
    <n v="4"/>
    <n v="149.99"/>
    <s v="Cash"/>
    <x v="2"/>
    <s v="Basic"/>
    <d v="2022-12-14T00:00:00"/>
    <n v="599.96"/>
    <n v="599.96"/>
    <n v="59.996000000000009"/>
    <n v="0.1"/>
  </r>
  <r>
    <s v="TRX0195"/>
    <d v="2024-09-16T00:00:00"/>
    <s v="CUST026"/>
    <s v="Karen Hill"/>
    <s v="P009"/>
    <x v="0"/>
    <s v="Electronics"/>
    <n v="2"/>
    <n v="249.99"/>
    <s v="PayPal"/>
    <x v="1"/>
    <s v="Basic"/>
    <d v="2023-03-08T00:00:00"/>
    <n v="499.98"/>
    <n v="499.98"/>
    <n v="49.998000000000005"/>
    <n v="0.1"/>
  </r>
  <r>
    <s v="TRX0054"/>
    <d v="2024-09-16T00:00:00"/>
    <s v="CUST004"/>
    <s v="Sarah Davis"/>
    <s v="P006"/>
    <x v="9"/>
    <s v="Furniture"/>
    <n v="4"/>
    <n v="199.99"/>
    <s v="Debit Card"/>
    <x v="4"/>
    <s v="Basic"/>
    <d v="2021-09-19T00:00:00"/>
    <n v="799.96"/>
    <n v="799.96"/>
    <n v="79.996000000000009"/>
    <n v="0.1"/>
  </r>
  <r>
    <s v="TRX0077"/>
    <d v="2024-09-19T00:00:00"/>
    <s v="CUST019"/>
    <s v="Daniel King"/>
    <s v="P010"/>
    <x v="8"/>
    <s v="Electronics"/>
    <n v="5"/>
    <n v="89.99"/>
    <s v="Credit Card"/>
    <x v="4"/>
    <s v="Premium"/>
    <d v="2021-09-07T00:00:00"/>
    <n v="449.95"/>
    <n v="449.95"/>
    <n v="44.995000000000005"/>
    <n v="0.1"/>
  </r>
  <r>
    <s v="TRX0111"/>
    <d v="2024-09-19T00:00:00"/>
    <s v="CUST011"/>
    <s v="William White"/>
    <s v="P003"/>
    <x v="3"/>
    <s v="Electronics"/>
    <n v="1"/>
    <n v="149.99"/>
    <s v="PayPal"/>
    <x v="4"/>
    <s v="Standard"/>
    <d v="2021-10-13T00:00:00"/>
    <n v="149.99"/>
    <n v="149.99"/>
    <n v="14.999000000000002"/>
    <n v="0.1"/>
  </r>
  <r>
    <s v="TRX0123"/>
    <d v="2024-09-19T00:00:00"/>
    <s v="CUST041"/>
    <s v="Peter Richardson"/>
    <s v="P002"/>
    <x v="5"/>
    <s v="Electronics"/>
    <n v="4"/>
    <n v="699.99"/>
    <s v="PayPal"/>
    <x v="1"/>
    <s v="Basic"/>
    <d v="2022-02-26T00:00:00"/>
    <n v="2799.96"/>
    <n v="2799.96"/>
    <n v="279.99600000000004"/>
    <n v="0.1"/>
  </r>
  <r>
    <s v="TRX0177"/>
    <d v="2024-09-24T00:00:00"/>
    <s v="CUST032"/>
    <s v="Sandra Phillips"/>
    <s v="P001"/>
    <x v="4"/>
    <s v="Electronics"/>
    <n v="3"/>
    <n v="899.99"/>
    <s v="Credit Card"/>
    <x v="2"/>
    <s v="Standard"/>
    <d v="2023-08-19T00:00:00"/>
    <n v="2699.97"/>
    <n v="2699.97"/>
    <n v="269.99700000000001"/>
    <n v="0.1"/>
  </r>
  <r>
    <s v="TRX0119"/>
    <d v="2024-09-25T00:00:00"/>
    <s v="CUST014"/>
    <s v="Linda Martin"/>
    <s v="P008"/>
    <x v="2"/>
    <s v="Furniture"/>
    <n v="3"/>
    <n v="149.99"/>
    <s v="PayPal"/>
    <x v="4"/>
    <s v="Basic"/>
    <d v="2022-11-21T00:00:00"/>
    <n v="449.97"/>
    <n v="449.97"/>
    <n v="44.997000000000007"/>
    <n v="0.1"/>
  </r>
  <r>
    <s v="TRX0181"/>
    <d v="2024-09-28T00:00:00"/>
    <s v="CUST012"/>
    <s v="Patricia Moore"/>
    <s v="P007"/>
    <x v="6"/>
    <s v="Furniture"/>
    <n v="2"/>
    <n v="299.99"/>
    <s v="Debit Card"/>
    <x v="0"/>
    <s v="Basic"/>
    <d v="2022-01-08T00:00:00"/>
    <n v="599.98"/>
    <n v="599.98"/>
    <n v="59.998000000000005"/>
    <n v="0.1"/>
  </r>
  <r>
    <s v="TRX0129"/>
    <d v="2024-09-29T00:00:00"/>
    <s v="CUST015"/>
    <s v="Richard Lee"/>
    <s v="P006"/>
    <x v="9"/>
    <s v="Furniture"/>
    <n v="1"/>
    <n v="199.99"/>
    <s v="Debit Card"/>
    <x v="4"/>
    <s v="Standard"/>
    <d v="2023-01-27T00:00:00"/>
    <n v="199.99"/>
    <n v="199.99"/>
    <n v="19.999000000000002"/>
    <n v="0.1"/>
  </r>
  <r>
    <s v="TRX0174"/>
    <d v="2024-10-01T00:00:00"/>
    <s v="CUST003"/>
    <s v="Michael Brown"/>
    <s v="P007"/>
    <x v="6"/>
    <s v="Furniture"/>
    <n v="4"/>
    <n v="299.99"/>
    <s v="Cash"/>
    <x v="0"/>
    <s v="Premium"/>
    <d v="2021-09-21T00:00:00"/>
    <n v="1199.96"/>
    <n v="1199.96"/>
    <n v="119.99600000000001"/>
    <n v="0.1"/>
  </r>
  <r>
    <s v="TRX0146"/>
    <d v="2024-10-07T00:00:00"/>
    <s v="CUST010"/>
    <s v="Maria Garcia"/>
    <s v="P005"/>
    <x v="1"/>
    <s v="Appliances"/>
    <n v="2"/>
    <n v="59.99"/>
    <s v="Credit Card"/>
    <x v="0"/>
    <s v="Basic"/>
    <d v="2022-01-18T00:00:00"/>
    <n v="119.98"/>
    <n v="119.98"/>
    <n v="11.998000000000001"/>
    <n v="0.1"/>
  </r>
  <r>
    <s v="TRX0203"/>
    <d v="2024-10-07T00:00:00"/>
    <s v="CUST032"/>
    <s v="Sandra Phillips"/>
    <s v="P003"/>
    <x v="3"/>
    <s v="Electronics"/>
    <n v="4"/>
    <n v="149.99"/>
    <s v="Credit Card"/>
    <x v="2"/>
    <s v="Premium"/>
    <d v="2023-05-30T00:00:00"/>
    <n v="599.96"/>
    <n v="599.96"/>
    <n v="59.996000000000009"/>
    <n v="0.1"/>
  </r>
  <r>
    <s v="TRX0055"/>
    <d v="2024-10-08T00:00:00"/>
    <s v="CUST016"/>
    <s v="Elizabeth Hall"/>
    <s v="P002"/>
    <x v="5"/>
    <s v="Electronics"/>
    <n v="2"/>
    <n v="699.99"/>
    <s v="Debit Card"/>
    <x v="4"/>
    <s v="Premium"/>
    <d v="2023-12-14T00:00:00"/>
    <n v="1399.98"/>
    <n v="1399.98"/>
    <n v="139.99800000000002"/>
    <n v="0.1"/>
  </r>
  <r>
    <s v="TRX0218"/>
    <d v="2024-10-08T00:00:00"/>
    <s v="CUST034"/>
    <s v="Carol Evans"/>
    <s v="P008"/>
    <x v="2"/>
    <s v="Furniture"/>
    <n v="3"/>
    <n v="149.99"/>
    <s v="Credit Card"/>
    <x v="1"/>
    <s v="Standard"/>
    <d v="2023-01-14T00:00:00"/>
    <n v="449.97"/>
    <n v="449.97"/>
    <n v="44.997000000000007"/>
    <n v="0.1"/>
  </r>
  <r>
    <s v="TRX0085"/>
    <d v="2024-10-11T00:00:00"/>
    <s v="CUST019"/>
    <s v="Daniel King"/>
    <s v="P007"/>
    <x v="6"/>
    <s v="Furniture"/>
    <n v="3"/>
    <n v="299.99"/>
    <s v="Credit Card"/>
    <x v="0"/>
    <s v="Standard"/>
    <d v="2023-09-05T00:00:00"/>
    <n v="899.97"/>
    <n v="899.97"/>
    <n v="89.997000000000014"/>
    <n v="0.1"/>
  </r>
  <r>
    <s v="TRX0158"/>
    <d v="2024-10-14T00:00:00"/>
    <s v="CUST027"/>
    <s v="George Adams"/>
    <s v="P001"/>
    <x v="4"/>
    <s v="Electronics"/>
    <n v="3"/>
    <n v="899.99"/>
    <s v="PayPal"/>
    <x v="3"/>
    <s v="Basic"/>
    <d v="2023-10-16T00:00:00"/>
    <n v="2699.97"/>
    <n v="2699.97"/>
    <n v="269.99700000000001"/>
    <n v="0.1"/>
  </r>
  <r>
    <s v="TRX0173"/>
    <d v="2024-10-16T00:00:00"/>
    <s v="CUST018"/>
    <s v="Barbara Young"/>
    <s v="P002"/>
    <x v="5"/>
    <s v="Electronics"/>
    <n v="5"/>
    <n v="699.99"/>
    <s v="Cash"/>
    <x v="4"/>
    <s v="Standard"/>
    <d v="2023-03-23T00:00:00"/>
    <n v="3499.95"/>
    <n v="3499.95"/>
    <n v="349.995"/>
    <n v="0.1"/>
  </r>
  <r>
    <s v="TRX0034"/>
    <d v="2024-10-16T00:00:00"/>
    <s v="CUST049"/>
    <s v="Raymond Ross"/>
    <s v="P002"/>
    <x v="5"/>
    <s v="Electronics"/>
    <n v="4"/>
    <n v="699.99"/>
    <s v="Credit Card"/>
    <x v="0"/>
    <s v="Basic"/>
    <d v="2024-04-03T00:00:00"/>
    <n v="2799.96"/>
    <n v="2799.96"/>
    <n v="279.99600000000004"/>
    <n v="0.1"/>
  </r>
  <r>
    <s v="TRX0189"/>
    <d v="2024-10-16T00:00:00"/>
    <s v="CUST040"/>
    <s v="Sharon Butler"/>
    <s v="P001"/>
    <x v="4"/>
    <s v="Electronics"/>
    <n v="1"/>
    <n v="899.99"/>
    <s v="Credit Card"/>
    <x v="4"/>
    <s v="Standard"/>
    <d v="2024-03-18T00:00:00"/>
    <n v="899.99"/>
    <n v="899.99"/>
    <n v="89.999000000000009"/>
    <n v="0.1"/>
  </r>
  <r>
    <s v="TRX0190"/>
    <d v="2024-10-18T00:00:00"/>
    <s v="CUST039"/>
    <s v="Lawrence Reed"/>
    <s v="P003"/>
    <x v="3"/>
    <s v="Electronics"/>
    <n v="2"/>
    <n v="149.99"/>
    <s v="Credit Card"/>
    <x v="3"/>
    <s v="Basic"/>
    <d v="2022-12-21T00:00:00"/>
    <n v="299.98"/>
    <n v="299.98"/>
    <n v="29.998000000000005"/>
    <n v="0.1"/>
  </r>
  <r>
    <s v="TRX0079"/>
    <d v="2024-10-21T00:00:00"/>
    <s v="CUST039"/>
    <s v="Lawrence Reed"/>
    <s v="P010"/>
    <x v="8"/>
    <s v="Electronics"/>
    <n v="3"/>
    <n v="89.99"/>
    <s v="PayPal"/>
    <x v="0"/>
    <s v="Basic"/>
    <d v="2021-12-21T00:00:00"/>
    <n v="269.97000000000003"/>
    <n v="269.97000000000003"/>
    <n v="26.997000000000003"/>
    <n v="0.1"/>
  </r>
  <r>
    <s v="TRX0095"/>
    <d v="2024-10-23T00:00:00"/>
    <s v="CUST046"/>
    <s v="Kathleen Bennett"/>
    <s v="P003"/>
    <x v="3"/>
    <s v="Electronics"/>
    <n v="2"/>
    <n v="149.99"/>
    <s v="PayPal"/>
    <x v="0"/>
    <s v="Basic"/>
    <d v="2021-10-04T00:00:00"/>
    <n v="299.98"/>
    <n v="299.98"/>
    <n v="29.998000000000005"/>
    <n v="0.1"/>
  </r>
  <r>
    <s v="TRX0009"/>
    <d v="2024-10-23T00:00:00"/>
    <s v="CUST004"/>
    <s v="Sarah Davis"/>
    <s v="P002"/>
    <x v="5"/>
    <s v="Electronics"/>
    <n v="2"/>
    <n v="699.99"/>
    <s v="Cash"/>
    <x v="0"/>
    <s v="Basic"/>
    <d v="2023-03-07T00:00:00"/>
    <n v="1399.98"/>
    <n v="1399.98"/>
    <n v="139.99800000000002"/>
    <n v="0.1"/>
  </r>
  <r>
    <s v="TRX0167"/>
    <d v="2024-10-24T00:00:00"/>
    <s v="CUST028"/>
    <s v="Betty Campbell"/>
    <s v="P002"/>
    <x v="5"/>
    <s v="Electronics"/>
    <n v="5"/>
    <n v="699.99"/>
    <s v="Cash"/>
    <x v="2"/>
    <s v="Premium"/>
    <d v="2022-03-15T00:00:00"/>
    <n v="3499.95"/>
    <n v="3499.95"/>
    <n v="349.995"/>
    <n v="0.1"/>
  </r>
  <r>
    <s v="TRX0153"/>
    <d v="2024-10-27T00:00:00"/>
    <s v="CUST049"/>
    <s v="Raymond Ross"/>
    <s v="P010"/>
    <x v="8"/>
    <s v="Electronics"/>
    <n v="3"/>
    <n v="89.99"/>
    <s v="Credit Card"/>
    <x v="2"/>
    <s v="Standard"/>
    <d v="2022-02-23T00:00:00"/>
    <n v="269.97000000000003"/>
    <n v="269.97000000000003"/>
    <n v="26.997000000000003"/>
    <n v="0.1"/>
  </r>
  <r>
    <s v="TRX0057"/>
    <d v="2024-11-01T00:00:00"/>
    <s v="CUST023"/>
    <s v="Paul Baker"/>
    <s v="P009"/>
    <x v="0"/>
    <s v="Electronics"/>
    <n v="5"/>
    <n v="249.99"/>
    <s v="Credit Card"/>
    <x v="1"/>
    <s v="Standard"/>
    <d v="2022-11-16T00:00:00"/>
    <n v="1249.95"/>
    <n v="1249.95"/>
    <n v="124.995"/>
    <n v="0.1"/>
  </r>
  <r>
    <s v="TRX0017"/>
    <d v="2024-11-04T00:00:00"/>
    <s v="CUST026"/>
    <s v="Karen Hill"/>
    <s v="P007"/>
    <x v="6"/>
    <s v="Furniture"/>
    <n v="3"/>
    <n v="299.99"/>
    <s v="Credit Card"/>
    <x v="1"/>
    <s v="Standard"/>
    <d v="2021-11-02T00:00:00"/>
    <n v="899.97"/>
    <n v="899.97"/>
    <n v="89.997000000000014"/>
    <n v="0.1"/>
  </r>
  <r>
    <s v="TRX0060"/>
    <d v="2024-11-07T00:00:00"/>
    <s v="CUST012"/>
    <s v="Patricia Moore"/>
    <s v="P010"/>
    <x v="8"/>
    <s v="Electronics"/>
    <n v="3"/>
    <n v="89.99"/>
    <s v="Credit Card"/>
    <x v="2"/>
    <s v="Premium"/>
    <d v="2021-08-12T00:00:00"/>
    <n v="269.97000000000003"/>
    <n v="269.97000000000003"/>
    <n v="26.997000000000003"/>
    <n v="0.1"/>
  </r>
  <r>
    <s v="TRX0109"/>
    <d v="2024-11-08T00:00:00"/>
    <s v="CUST010"/>
    <s v="Maria Garcia"/>
    <s v="P008"/>
    <x v="2"/>
    <s v="Furniture"/>
    <n v="2"/>
    <n v="149.99"/>
    <s v="Credit Card"/>
    <x v="3"/>
    <s v="Premium"/>
    <d v="2022-10-14T00:00:00"/>
    <n v="299.98"/>
    <n v="299.98"/>
    <n v="29.998000000000005"/>
    <n v="0.1"/>
  </r>
  <r>
    <s v="TRX0090"/>
    <d v="2024-11-09T00:00:00"/>
    <s v="CUST020"/>
    <s v="Margaret Wright"/>
    <s v="P009"/>
    <x v="0"/>
    <s v="Electronics"/>
    <n v="1"/>
    <n v="249.99"/>
    <s v="Credit Card"/>
    <x v="2"/>
    <s v="Premium"/>
    <d v="2022-09-24T00:00:00"/>
    <n v="249.99"/>
    <n v="249.99"/>
    <n v="24.999000000000002"/>
    <n v="0.1"/>
  </r>
  <r>
    <s v="TRX0035"/>
    <d v="2024-11-11T00:00:00"/>
    <s v="CUST041"/>
    <s v="Peter Richardson"/>
    <s v="P003"/>
    <x v="3"/>
    <s v="Electronics"/>
    <n v="3"/>
    <n v="149.99"/>
    <s v="Cash"/>
    <x v="2"/>
    <s v="Basic"/>
    <d v="2022-07-27T00:00:00"/>
    <n v="449.97"/>
    <n v="449.97"/>
    <n v="44.997000000000007"/>
    <n v="0.1"/>
  </r>
  <r>
    <s v="TRX0172"/>
    <d v="2024-11-11T00:00:00"/>
    <s v="CUST023"/>
    <s v="Paul Baker"/>
    <s v="P005"/>
    <x v="1"/>
    <s v="Appliances"/>
    <n v="5"/>
    <n v="59.99"/>
    <s v="PayPal"/>
    <x v="3"/>
    <s v="Premium"/>
    <d v="2022-05-13T00:00:00"/>
    <n v="299.95"/>
    <n v="299.95"/>
    <n v="29.995000000000001"/>
    <n v="0.1"/>
  </r>
  <r>
    <s v="TRX0076"/>
    <d v="2024-11-11T00:00:00"/>
    <s v="CUST012"/>
    <s v="Patricia Moore"/>
    <s v="P009"/>
    <x v="0"/>
    <s v="Electronics"/>
    <n v="4"/>
    <n v="249.99"/>
    <s v="Credit Card"/>
    <x v="3"/>
    <s v="Standard"/>
    <d v="2022-04-08T00:00:00"/>
    <n v="999.96"/>
    <n v="999.96"/>
    <n v="99.996000000000009"/>
    <n v="0.1"/>
  </r>
  <r>
    <s v="TRX0210"/>
    <d v="2024-11-12T00:00:00"/>
    <s v="CUST004"/>
    <s v="Sarah Davis"/>
    <s v="P008"/>
    <x v="2"/>
    <s v="Furniture"/>
    <n v="5"/>
    <n v="149.99"/>
    <s v="PayPal"/>
    <x v="0"/>
    <s v="Basic"/>
    <d v="2022-12-06T00:00:00"/>
    <n v="749.95"/>
    <n v="749.95"/>
    <n v="74.995000000000005"/>
    <n v="0.1"/>
  </r>
  <r>
    <s v="TRX0149"/>
    <d v="2024-11-12T00:00:00"/>
    <s v="CUST027"/>
    <s v="George Adams"/>
    <s v="P005"/>
    <x v="1"/>
    <s v="Appliances"/>
    <n v="3"/>
    <n v="59.99"/>
    <s v="Debit Card"/>
    <x v="1"/>
    <s v="Standard"/>
    <d v="2023-11-30T00:00:00"/>
    <n v="179.97"/>
    <n v="179.97"/>
    <n v="17.997"/>
    <n v="0.1"/>
  </r>
  <r>
    <s v="TRX0073"/>
    <d v="2024-11-17T00:00:00"/>
    <s v="CUST032"/>
    <s v="Sandra Phillips"/>
    <s v="P008"/>
    <x v="2"/>
    <s v="Furniture"/>
    <n v="5"/>
    <n v="149.99"/>
    <s v="Cash"/>
    <x v="2"/>
    <s v="Basic"/>
    <d v="2022-11-04T00:00:00"/>
    <n v="749.95"/>
    <n v="749.95"/>
    <n v="74.995000000000005"/>
    <n v="0.1"/>
  </r>
  <r>
    <s v="TRX0033"/>
    <d v="2024-11-17T00:00:00"/>
    <s v="CUST025"/>
    <s v="Mark Carter"/>
    <s v="P002"/>
    <x v="5"/>
    <s v="Electronics"/>
    <n v="2"/>
    <n v="699.99"/>
    <s v="PayPal"/>
    <x v="3"/>
    <s v="Standard"/>
    <d v="2022-07-28T00:00:00"/>
    <n v="1399.98"/>
    <n v="1399.98"/>
    <n v="139.99800000000002"/>
    <n v="0.1"/>
  </r>
  <r>
    <s v="TRX0160"/>
    <d v="2024-11-21T00:00:00"/>
    <s v="CUST029"/>
    <s v="Edward Mitchell"/>
    <s v="P006"/>
    <x v="9"/>
    <s v="Furniture"/>
    <n v="4"/>
    <n v="199.99"/>
    <s v="Debit Card"/>
    <x v="0"/>
    <s v="Premium"/>
    <d v="2021-08-19T00:00:00"/>
    <n v="799.96"/>
    <n v="799.96"/>
    <n v="79.996000000000009"/>
    <n v="0.1"/>
  </r>
  <r>
    <s v="TRX0145"/>
    <d v="2024-11-23T00:00:00"/>
    <s v="CUST033"/>
    <s v="Frank Torres"/>
    <s v="P005"/>
    <x v="1"/>
    <s v="Appliances"/>
    <n v="1"/>
    <n v="59.99"/>
    <s v="Debit Card"/>
    <x v="3"/>
    <s v="Standard"/>
    <d v="2021-12-30T00:00:00"/>
    <n v="59.99"/>
    <n v="59.99"/>
    <n v="5.9990000000000006"/>
    <n v="0.1"/>
  </r>
  <r>
    <s v="TRX0148"/>
    <d v="2024-11-23T00:00:00"/>
    <s v="CUST004"/>
    <s v="Sarah Davis"/>
    <s v="P002"/>
    <x v="5"/>
    <s v="Electronics"/>
    <n v="3"/>
    <n v="699.99"/>
    <s v="PayPal"/>
    <x v="3"/>
    <s v="Standard"/>
    <d v="2022-01-22T00:00:00"/>
    <n v="2099.9699999999998"/>
    <n v="2099.9699999999998"/>
    <n v="209.99699999999999"/>
    <n v="0.1"/>
  </r>
  <r>
    <s v="TRX0012"/>
    <d v="2024-11-26T00:00:00"/>
    <s v="CUST045"/>
    <s v="Douglas Watson"/>
    <s v="P009"/>
    <x v="0"/>
    <s v="Electronics"/>
    <n v="5"/>
    <n v="249.99"/>
    <s v="Credit Card"/>
    <x v="2"/>
    <s v="Basic"/>
    <d v="2022-11-08T00:00:00"/>
    <n v="1249.95"/>
    <n v="1249.95"/>
    <n v="124.995"/>
    <n v="0.1"/>
  </r>
  <r>
    <s v="TRX0206"/>
    <d v="2024-11-27T00:00:00"/>
    <s v="CUST014"/>
    <s v="Linda Martin"/>
    <s v="P008"/>
    <x v="2"/>
    <s v="Furniture"/>
    <n v="2"/>
    <n v="149.99"/>
    <s v="Cash"/>
    <x v="1"/>
    <s v="Standard"/>
    <d v="2023-06-24T00:00:00"/>
    <n v="299.98"/>
    <n v="299.98"/>
    <n v="29.998000000000005"/>
    <n v="0.1"/>
  </r>
  <r>
    <s v="TRX0045"/>
    <d v="2024-12-01T00:00:00"/>
    <s v="CUST021"/>
    <s v="Kevin Scott"/>
    <s v="P007"/>
    <x v="6"/>
    <s v="Furniture"/>
    <n v="3"/>
    <n v="299.99"/>
    <s v="Cash"/>
    <x v="1"/>
    <s v="Premium"/>
    <d v="2022-04-08T00:00:00"/>
    <n v="899.97"/>
    <n v="899.97"/>
    <n v="89.997000000000014"/>
    <n v="0.1"/>
  </r>
  <r>
    <s v="TRX0094"/>
    <d v="2024-12-01T00:00:00"/>
    <s v="CUST017"/>
    <s v="Charles Allen"/>
    <s v="P009"/>
    <x v="0"/>
    <s v="Electronics"/>
    <n v="5"/>
    <n v="249.99"/>
    <s v="Cash"/>
    <x v="0"/>
    <s v="Premium"/>
    <d v="2021-10-16T00:00:00"/>
    <n v="1249.95"/>
    <n v="1249.95"/>
    <n v="124.995"/>
    <n v="0.1"/>
  </r>
  <r>
    <s v="TRX0133"/>
    <d v="2024-12-01T00:00:00"/>
    <s v="CUST013"/>
    <s v="Joseph Jackson"/>
    <s v="P003"/>
    <x v="3"/>
    <s v="Electronics"/>
    <n v="2"/>
    <n v="149.99"/>
    <s v="Cash"/>
    <x v="1"/>
    <s v="Premium"/>
    <d v="2021-10-06T00:00:00"/>
    <n v="299.98"/>
    <n v="299.98"/>
    <n v="29.998000000000005"/>
    <n v="0.1"/>
  </r>
  <r>
    <s v="TRX0201"/>
    <d v="2024-12-01T00:00:00"/>
    <s v="CUST025"/>
    <s v="Mark Carter"/>
    <s v="P002"/>
    <x v="5"/>
    <s v="Electronics"/>
    <n v="5"/>
    <n v="699.99"/>
    <s v="Debit Card"/>
    <x v="3"/>
    <s v="Standard"/>
    <d v="2023-01-18T00:00:00"/>
    <n v="3499.95"/>
    <n v="3499.95"/>
    <n v="349.995"/>
    <n v="0.1"/>
  </r>
  <r>
    <s v="TRX0137"/>
    <d v="2024-12-03T00:00:00"/>
    <s v="CUST011"/>
    <s v="William White"/>
    <s v="P009"/>
    <x v="0"/>
    <s v="Electronics"/>
    <n v="4"/>
    <n v="249.99"/>
    <s v="PayPal"/>
    <x v="4"/>
    <s v="Premium"/>
    <d v="2023-06-21T00:00:00"/>
    <n v="999.96"/>
    <n v="999.96"/>
    <n v="99.996000000000009"/>
    <n v="0.1"/>
  </r>
  <r>
    <s v="TRX0066"/>
    <d v="2024-12-04T00:00:00"/>
    <s v="CUST024"/>
    <s v="Dorothy Nelson"/>
    <s v="P002"/>
    <x v="5"/>
    <s v="Electronics"/>
    <n v="4"/>
    <n v="699.99"/>
    <s v="Credit Card"/>
    <x v="2"/>
    <s v="Premium"/>
    <d v="2022-05-22T00:00:00"/>
    <n v="2799.96"/>
    <n v="2799.96"/>
    <n v="279.99600000000004"/>
    <n v="0.1"/>
  </r>
  <r>
    <s v="TRX0180"/>
    <d v="2024-12-09T00:00:00"/>
    <s v="CUST036"/>
    <s v="Nancy Collins"/>
    <s v="P009"/>
    <x v="0"/>
    <s v="Electronics"/>
    <n v="2"/>
    <n v="249.99"/>
    <s v="Credit Card"/>
    <x v="0"/>
    <s v="Premium"/>
    <d v="2021-07-19T00:00:00"/>
    <n v="499.98"/>
    <n v="499.98"/>
    <n v="49.998000000000005"/>
    <n v="0.1"/>
  </r>
  <r>
    <s v="TRX0082"/>
    <d v="2024-12-09T00:00:00"/>
    <s v="CUST005"/>
    <s v="James Johnson"/>
    <s v="P005"/>
    <x v="1"/>
    <s v="Appliances"/>
    <n v="3"/>
    <n v="59.99"/>
    <s v="Cash"/>
    <x v="0"/>
    <s v="Premium"/>
    <d v="2023-05-06T00:00:00"/>
    <n v="179.97"/>
    <n v="179.97"/>
    <n v="17.997"/>
    <n v="0.1"/>
  </r>
  <r>
    <s v="TRX0036"/>
    <d v="2024-12-09T00:00:00"/>
    <s v="CUST008"/>
    <s v="Jennifer Taylor"/>
    <s v="P004"/>
    <x v="7"/>
    <s v="Appliances"/>
    <n v="4"/>
    <n v="79.989999999999995"/>
    <s v="Debit Card"/>
    <x v="4"/>
    <s v="Standard"/>
    <d v="2022-12-26T00:00:00"/>
    <n v="319.95999999999998"/>
    <n v="319.95999999999998"/>
    <n v="31.995999999999999"/>
    <n v="0.1"/>
  </r>
  <r>
    <s v="TRX0198"/>
    <d v="2024-12-10T00:00:00"/>
    <s v="CUST030"/>
    <s v="Helen Roberts"/>
    <s v="P004"/>
    <x v="7"/>
    <s v="Appliances"/>
    <n v="3"/>
    <n v="79.989999999999995"/>
    <s v="Debit Card"/>
    <x v="4"/>
    <s v="Standard"/>
    <d v="2022-08-06T00:00:00"/>
    <n v="239.97"/>
    <n v="239.97"/>
    <n v="23.997"/>
    <n v="0.1"/>
  </r>
  <r>
    <s v="TRX0032"/>
    <d v="2024-12-12T00:00:00"/>
    <s v="CUST041"/>
    <s v="Peter Richardson"/>
    <s v="P001"/>
    <x v="4"/>
    <s v="Electronics"/>
    <n v="2"/>
    <n v="899.99"/>
    <s v="Cash"/>
    <x v="2"/>
    <s v="Basic"/>
    <d v="2021-07-29T00:00:00"/>
    <n v="1799.98"/>
    <n v="1799.98"/>
    <n v="179.99800000000002"/>
    <n v="0.1"/>
  </r>
  <r>
    <s v="TRX0081"/>
    <d v="2024-12-15T00:00:00"/>
    <s v="CUST007"/>
    <s v="David Martinez"/>
    <s v="P008"/>
    <x v="2"/>
    <s v="Furniture"/>
    <n v="1"/>
    <n v="149.99"/>
    <s v="Debit Card"/>
    <x v="4"/>
    <s v="Standard"/>
    <d v="2023-10-01T00:00:00"/>
    <n v="149.99"/>
    <n v="149.99"/>
    <n v="14.999000000000002"/>
    <n v="0.1"/>
  </r>
  <r>
    <s v="TRX0224"/>
    <d v="2024-12-15T00:00:00"/>
    <s v="CUST031"/>
    <s v="Steven Turner"/>
    <s v="P007"/>
    <x v="6"/>
    <s v="Furniture"/>
    <n v="2"/>
    <n v="299.99"/>
    <s v="Cash"/>
    <x v="4"/>
    <s v="Premium"/>
    <d v="2022-06-12T00:00:00"/>
    <n v="599.98"/>
    <n v="599.98"/>
    <n v="59.998000000000005"/>
    <n v="0.1"/>
  </r>
  <r>
    <s v="TRX0028"/>
    <d v="2024-12-18T00:00:00"/>
    <s v="CUST002"/>
    <s v="Emma Wilson"/>
    <s v="P005"/>
    <x v="1"/>
    <s v="Appliances"/>
    <n v="2"/>
    <n v="59.99"/>
    <s v="Cash"/>
    <x v="3"/>
    <s v="Basic"/>
    <d v="2023-09-22T00:00:00"/>
    <n v="119.98"/>
    <n v="119.98"/>
    <n v="11.998000000000001"/>
    <n v="0.1"/>
  </r>
  <r>
    <s v="TRX0183"/>
    <d v="2024-12-19T00:00:00"/>
    <s v="CUST007"/>
    <s v="David Martinez"/>
    <s v="P010"/>
    <x v="8"/>
    <s v="Electronics"/>
    <n v="1"/>
    <n v="89.99"/>
    <s v="Debit Card"/>
    <x v="0"/>
    <s v="Standard"/>
    <d v="2022-07-18T00:00:00"/>
    <n v="89.99"/>
    <n v="89.99"/>
    <n v="8.9990000000000006"/>
    <n v="0.1"/>
  </r>
  <r>
    <s v="TRX0163"/>
    <d v="2024-12-19T00:00:00"/>
    <s v="CUST019"/>
    <s v="Daniel King"/>
    <s v="P001"/>
    <x v="4"/>
    <s v="Electronics"/>
    <n v="5"/>
    <n v="899.99"/>
    <s v="Debit Card"/>
    <x v="4"/>
    <s v="Standard"/>
    <d v="2022-03-05T00:00:00"/>
    <n v="4499.95"/>
    <n v="4499.95"/>
    <n v="449.995"/>
    <n v="0.1"/>
  </r>
  <r>
    <s v="TRX0046"/>
    <d v="2024-12-20T00:00:00"/>
    <s v="CUST003"/>
    <s v="Michael Brown"/>
    <s v="P008"/>
    <x v="2"/>
    <s v="Furniture"/>
    <n v="2"/>
    <n v="149.99"/>
    <s v="Cash"/>
    <x v="1"/>
    <s v="Basic"/>
    <d v="2023-11-09T00:00:00"/>
    <n v="299.98"/>
    <n v="299.98"/>
    <n v="29.998000000000005"/>
    <n v="0.1"/>
  </r>
  <r>
    <s v="TRX0164"/>
    <d v="2024-12-22T00:00:00"/>
    <s v="CUST014"/>
    <s v="Linda Martin"/>
    <s v="P003"/>
    <x v="3"/>
    <s v="Electronics"/>
    <n v="2"/>
    <n v="149.99"/>
    <s v="Debit Card"/>
    <x v="3"/>
    <s v="Premium"/>
    <d v="2023-12-20T00:00:00"/>
    <n v="299.98"/>
    <n v="299.98"/>
    <n v="29.998000000000005"/>
    <n v="0.1"/>
  </r>
  <r>
    <s v="TRX0008"/>
    <d v="2024-12-22T00:00:00"/>
    <s v="CUST007"/>
    <s v="David Martinez"/>
    <s v="P008"/>
    <x v="2"/>
    <s v="Furniture"/>
    <n v="3"/>
    <n v="149.99"/>
    <s v="Debit Card"/>
    <x v="2"/>
    <s v="Standard"/>
    <d v="2021-11-22T00:00:00"/>
    <n v="449.97"/>
    <n v="449.97"/>
    <n v="44.997000000000007"/>
    <n v="0.1"/>
  </r>
  <r>
    <s v="TRX0171"/>
    <d v="2024-12-23T00:00:00"/>
    <s v="CUST021"/>
    <s v="Kevin Scott"/>
    <s v="P007"/>
    <x v="6"/>
    <s v="Furniture"/>
    <n v="2"/>
    <n v="299.99"/>
    <s v="PayPal"/>
    <x v="1"/>
    <s v="Basic"/>
    <d v="2022-06-09T00:00:00"/>
    <n v="599.98"/>
    <n v="599.98"/>
    <n v="59.998000000000005"/>
    <n v="0.1"/>
  </r>
  <r>
    <s v="TRX0143"/>
    <d v="2024-12-28T00:00:00"/>
    <s v="CUST003"/>
    <s v="Michael Brown"/>
    <s v="P007"/>
    <x v="6"/>
    <s v="Furniture"/>
    <n v="2"/>
    <n v="299.99"/>
    <s v="Cash"/>
    <x v="3"/>
    <s v="Basic"/>
    <d v="2022-07-29T00:00:00"/>
    <n v="599.98"/>
    <n v="599.98"/>
    <n v="59.998000000000005"/>
    <n v="0.1"/>
  </r>
  <r>
    <s v="TRX0165"/>
    <d v="2024-12-28T00:00:00"/>
    <s v="CUST030"/>
    <s v="Helen Roberts"/>
    <s v="P006"/>
    <x v="9"/>
    <s v="Furniture"/>
    <n v="4"/>
    <n v="199.99"/>
    <s v="Credit Card"/>
    <x v="0"/>
    <s v="Basic"/>
    <d v="2021-11-23T00:00:00"/>
    <n v="799.96"/>
    <n v="799.96"/>
    <n v="79.996000000000009"/>
    <n v="0.1"/>
  </r>
  <r>
    <s v="TRX0156"/>
    <d v="2024-12-29T00:00:00"/>
    <s v="CUST009"/>
    <s v="Robert Thomas"/>
    <s v="P010"/>
    <x v="8"/>
    <s v="Electronics"/>
    <n v="1"/>
    <n v="89.99"/>
    <s v="Credit Card"/>
    <x v="1"/>
    <s v="Premium"/>
    <d v="2022-01-30T00:00:00"/>
    <n v="89.99"/>
    <n v="89.99"/>
    <n v="8.9990000000000006"/>
    <n v="0.1"/>
  </r>
  <r>
    <s v="TRX0147"/>
    <d v="2024-12-29T00:00:00"/>
    <s v="CUST036"/>
    <s v="Nancy Collins"/>
    <s v="P008"/>
    <x v="2"/>
    <s v="Furniture"/>
    <n v="5"/>
    <n v="149.99"/>
    <s v="Cash"/>
    <x v="0"/>
    <s v="Premium"/>
    <d v="2024-02-25T00:00:00"/>
    <n v="749.95"/>
    <n v="749.95"/>
    <n v="74.995000000000005"/>
    <n v="0.1"/>
  </r>
  <r>
    <s v="TRX0207"/>
    <d v="2024-12-31T00:00:00"/>
    <s v="CUST025"/>
    <s v="Mark Carter"/>
    <s v="P001"/>
    <x v="4"/>
    <s v="Electronics"/>
    <n v="1"/>
    <n v="899.99"/>
    <s v="PayPal"/>
    <x v="2"/>
    <s v="Premium"/>
    <d v="2023-05-04T00:00:00"/>
    <n v="899.99"/>
    <n v="899.99"/>
    <n v="89.999000000000009"/>
    <n v="0.1"/>
  </r>
  <r>
    <s v="TRX0056"/>
    <d v="2025-01-03T00:00:00"/>
    <s v="CUST019"/>
    <s v="Daniel King"/>
    <s v="P010"/>
    <x v="8"/>
    <s v="Electronics"/>
    <n v="2"/>
    <n v="89.99"/>
    <s v="Credit Card"/>
    <x v="1"/>
    <s v="Premium"/>
    <d v="2022-01-03T00:00:00"/>
    <n v="179.98"/>
    <n v="179.98"/>
    <n v="17.998000000000001"/>
    <n v="0.1"/>
  </r>
  <r>
    <s v="TRX0026"/>
    <d v="2025-01-04T00:00:00"/>
    <s v="CUST037"/>
    <s v="Arthur Edwards"/>
    <s v="P001"/>
    <x v="4"/>
    <s v="Electronics"/>
    <n v="1"/>
    <n v="899.99"/>
    <s v="PayPal"/>
    <x v="2"/>
    <s v="Standard"/>
    <d v="2022-07-10T00:00:00"/>
    <n v="899.99"/>
    <n v="899.99"/>
    <n v="89.999000000000009"/>
    <n v="0.1"/>
  </r>
  <r>
    <s v="TRX0237"/>
    <d v="2025-01-06T00:00:00"/>
    <s v="CUST006"/>
    <s v="Lisa Anderson"/>
    <s v="P003"/>
    <x v="3"/>
    <s v="Electronics"/>
    <n v="5"/>
    <n v="149.99"/>
    <s v="PayPal"/>
    <x v="4"/>
    <s v="Premium"/>
    <d v="2022-09-20T00:00:00"/>
    <n v="749.95"/>
    <n v="749.95"/>
    <n v="74.995000000000005"/>
    <n v="0.1"/>
  </r>
  <r>
    <s v="TRX0091"/>
    <d v="2025-01-06T00:00:00"/>
    <s v="CUST003"/>
    <s v="Michael Brown"/>
    <s v="P007"/>
    <x v="6"/>
    <s v="Furniture"/>
    <n v="3"/>
    <n v="299.99"/>
    <s v="Cash"/>
    <x v="1"/>
    <s v="Standard"/>
    <d v="2021-08-14T00:00:00"/>
    <n v="899.97"/>
    <n v="899.97"/>
    <n v="89.997000000000014"/>
    <n v="0.1"/>
  </r>
  <r>
    <s v="TRX0125"/>
    <d v="2025-01-09T00:00:00"/>
    <s v="CUST026"/>
    <s v="Karen Hill"/>
    <s v="P002"/>
    <x v="5"/>
    <s v="Electronics"/>
    <n v="3"/>
    <n v="699.99"/>
    <s v="Credit Card"/>
    <x v="0"/>
    <s v="Premium"/>
    <d v="2023-06-28T00:00:00"/>
    <n v="2099.9699999999998"/>
    <n v="2099.9699999999998"/>
    <n v="209.99699999999999"/>
    <n v="0.1"/>
  </r>
  <r>
    <s v="TRX0223"/>
    <d v="2025-01-10T00:00:00"/>
    <s v="CUST036"/>
    <s v="Nancy Collins"/>
    <s v="P006"/>
    <x v="9"/>
    <s v="Furniture"/>
    <n v="5"/>
    <n v="199.99"/>
    <s v="PayPal"/>
    <x v="0"/>
    <s v="Standard"/>
    <d v="2022-03-13T00:00:00"/>
    <n v="999.95"/>
    <n v="999.95"/>
    <n v="99.995000000000005"/>
    <n v="0.1"/>
  </r>
  <r>
    <s v="TRX0243"/>
    <d v="2025-01-10T00:00:00"/>
    <s v="CUST048"/>
    <s v="Virginia Sanders"/>
    <s v="P009"/>
    <x v="0"/>
    <s v="Electronics"/>
    <n v="5"/>
    <n v="249.99"/>
    <s v="Credit Card"/>
    <x v="1"/>
    <s v="Basic"/>
    <d v="2024-02-08T00:00:00"/>
    <n v="1249.95"/>
    <n v="1249.95"/>
    <n v="124.995"/>
    <n v="0.1"/>
  </r>
  <r>
    <s v="TRX0084"/>
    <d v="2025-01-11T00:00:00"/>
    <s v="CUST031"/>
    <s v="Steven Turner"/>
    <s v="P003"/>
    <x v="3"/>
    <s v="Electronics"/>
    <n v="4"/>
    <n v="149.99"/>
    <s v="Debit Card"/>
    <x v="4"/>
    <s v="Standard"/>
    <d v="2021-12-06T00:00:00"/>
    <n v="599.96"/>
    <n v="599.96"/>
    <n v="59.996000000000009"/>
    <n v="0.1"/>
  </r>
  <r>
    <s v="TRX0238"/>
    <d v="2025-01-11T00:00:00"/>
    <s v="CUST038"/>
    <s v="Michelle Rogers"/>
    <s v="P002"/>
    <x v="5"/>
    <s v="Electronics"/>
    <n v="3"/>
    <n v="699.99"/>
    <s v="Cash"/>
    <x v="2"/>
    <s v="Premium"/>
    <d v="2022-02-10T00:00:00"/>
    <n v="2099.9699999999998"/>
    <n v="2099.9699999999998"/>
    <n v="209.99699999999999"/>
    <n v="0.1"/>
  </r>
  <r>
    <s v="TRX0102"/>
    <d v="2025-01-13T00:00:00"/>
    <s v="CUST045"/>
    <s v="Douglas Watson"/>
    <s v="P004"/>
    <x v="7"/>
    <s v="Appliances"/>
    <n v="1"/>
    <n v="79.989999999999995"/>
    <s v="Credit Card"/>
    <x v="1"/>
    <s v="Basic"/>
    <d v="2024-01-31T00:00:00"/>
    <n v="79.989999999999995"/>
    <n v="79.989999999999995"/>
    <n v="7.9989999999999997"/>
    <n v="0.1"/>
  </r>
  <r>
    <s v="TRX0022"/>
    <d v="2025-01-13T00:00:00"/>
    <s v="CUST025"/>
    <s v="Mark Carter"/>
    <s v="P007"/>
    <x v="6"/>
    <s v="Furniture"/>
    <n v="1"/>
    <n v="299.99"/>
    <s v="Credit Card"/>
    <x v="2"/>
    <s v="Basic"/>
    <d v="2021-08-28T00:00:00"/>
    <n v="299.99"/>
    <n v="299.99"/>
    <n v="29.999000000000002"/>
    <n v="0.1"/>
  </r>
  <r>
    <s v="TRX0087"/>
    <d v="2025-01-14T00:00:00"/>
    <s v="CUST028"/>
    <s v="Betty Campbell"/>
    <s v="P009"/>
    <x v="0"/>
    <s v="Electronics"/>
    <n v="4"/>
    <n v="249.99"/>
    <s v="Credit Card"/>
    <x v="2"/>
    <s v="Premium"/>
    <d v="2021-09-21T00:00:00"/>
    <n v="999.96"/>
    <n v="999.96"/>
    <n v="99.996000000000009"/>
    <n v="0.1"/>
  </r>
  <r>
    <s v="TRX0107"/>
    <d v="2025-01-14T00:00:00"/>
    <s v="CUST030"/>
    <s v="Helen Roberts"/>
    <s v="P003"/>
    <x v="3"/>
    <s v="Electronics"/>
    <n v="2"/>
    <n v="149.99"/>
    <s v="Cash"/>
    <x v="2"/>
    <s v="Standard"/>
    <d v="2022-12-18T00:00:00"/>
    <n v="299.98"/>
    <n v="299.98"/>
    <n v="29.998000000000005"/>
    <n v="0.1"/>
  </r>
  <r>
    <s v="TRX0051"/>
    <d v="2025-01-14T00:00:00"/>
    <s v="CUST032"/>
    <s v="Sandra Phillips"/>
    <s v="P007"/>
    <x v="6"/>
    <s v="Furniture"/>
    <n v="3"/>
    <n v="299.99"/>
    <s v="Credit Card"/>
    <x v="1"/>
    <s v="Basic"/>
    <d v="2023-10-05T00:00:00"/>
    <n v="899.97"/>
    <n v="899.97"/>
    <n v="89.997000000000014"/>
    <n v="0.1"/>
  </r>
  <r>
    <s v="TRX0106"/>
    <d v="2025-01-16T00:00:00"/>
    <s v="CUST039"/>
    <s v="Lawrence Reed"/>
    <s v="P006"/>
    <x v="9"/>
    <s v="Furniture"/>
    <n v="4"/>
    <n v="199.99"/>
    <s v="Debit Card"/>
    <x v="1"/>
    <s v="Standard"/>
    <d v="2021-12-14T00:00:00"/>
    <n v="799.96"/>
    <n v="799.96"/>
    <n v="79.996000000000009"/>
    <n v="0.1"/>
  </r>
  <r>
    <s v="TRX0059"/>
    <d v="2025-01-16T00:00:00"/>
    <s v="CUST016"/>
    <s v="Elizabeth Hall"/>
    <s v="P007"/>
    <x v="6"/>
    <s v="Furniture"/>
    <n v="5"/>
    <n v="299.99"/>
    <s v="Debit Card"/>
    <x v="0"/>
    <s v="Basic"/>
    <d v="2021-08-23T00:00:00"/>
    <n v="1499.95"/>
    <n v="1499.95"/>
    <n v="149.995"/>
    <n v="0.1"/>
  </r>
  <r>
    <s v="TRX0072"/>
    <d v="2025-01-16T00:00:00"/>
    <s v="CUST009"/>
    <s v="Robert Thomas"/>
    <s v="P008"/>
    <x v="2"/>
    <s v="Furniture"/>
    <n v="3"/>
    <n v="149.99"/>
    <s v="Credit Card"/>
    <x v="4"/>
    <s v="Standard"/>
    <d v="2021-07-18T00:00:00"/>
    <n v="449.97"/>
    <n v="449.97"/>
    <n v="44.997000000000007"/>
    <n v="0.1"/>
  </r>
  <r>
    <s v="TRX0110"/>
    <d v="2025-01-19T00:00:00"/>
    <s v="CUST006"/>
    <s v="Lisa Anderson"/>
    <s v="P005"/>
    <x v="1"/>
    <s v="Appliances"/>
    <n v="5"/>
    <n v="59.99"/>
    <s v="Debit Card"/>
    <x v="4"/>
    <s v="Basic"/>
    <d v="2022-03-22T00:00:00"/>
    <n v="299.95"/>
    <n v="299.95"/>
    <n v="29.995000000000001"/>
    <n v="0.1"/>
  </r>
  <r>
    <s v="TRX0126"/>
    <d v="2025-01-25T00:00:00"/>
    <s v="CUST022"/>
    <s v="Susan Green"/>
    <s v="P005"/>
    <x v="1"/>
    <s v="Appliances"/>
    <n v="4"/>
    <n v="59.99"/>
    <s v="Debit Card"/>
    <x v="4"/>
    <s v="Standard"/>
    <d v="2022-01-03T00:00:00"/>
    <n v="239.96"/>
    <n v="239.96"/>
    <n v="23.996000000000002"/>
    <n v="0.1"/>
  </r>
  <r>
    <s v="TRX0159"/>
    <d v="2025-01-26T00:00:00"/>
    <s v="CUST024"/>
    <s v="Dorothy Nelson"/>
    <s v="P009"/>
    <x v="0"/>
    <s v="Electronics"/>
    <n v="4"/>
    <n v="249.99"/>
    <s v="Debit Card"/>
    <x v="0"/>
    <s v="Premium"/>
    <d v="2023-10-18T00:00:00"/>
    <n v="999.96"/>
    <n v="999.96"/>
    <n v="99.996000000000009"/>
    <n v="0.1"/>
  </r>
  <r>
    <s v="TRX0030"/>
    <d v="2025-01-29T00:00:00"/>
    <s v="CUST011"/>
    <s v="William White"/>
    <s v="P001"/>
    <x v="4"/>
    <s v="Electronics"/>
    <n v="4"/>
    <n v="899.99"/>
    <s v="PayPal"/>
    <x v="0"/>
    <s v="Basic"/>
    <d v="2022-06-22T00:00:00"/>
    <n v="3599.96"/>
    <n v="3599.96"/>
    <n v="359.99600000000004"/>
    <n v="0.1"/>
  </r>
  <r>
    <s v="TRX0178"/>
    <d v="2025-01-29T00:00:00"/>
    <s v="CUST025"/>
    <s v="Mark Carter"/>
    <s v="P007"/>
    <x v="6"/>
    <s v="Furniture"/>
    <n v="3"/>
    <n v="299.99"/>
    <s v="Debit Card"/>
    <x v="3"/>
    <s v="Standard"/>
    <d v="2023-01-26T00:00:00"/>
    <n v="899.97"/>
    <n v="899.97"/>
    <n v="89.997000000000014"/>
    <n v="0.1"/>
  </r>
  <r>
    <s v="TRX0188"/>
    <d v="2025-01-29T00:00:00"/>
    <s v="CUST045"/>
    <s v="Douglas Watson"/>
    <s v="P002"/>
    <x v="5"/>
    <s v="Electronics"/>
    <n v="2"/>
    <n v="699.99"/>
    <s v="Debit Card"/>
    <x v="0"/>
    <s v="Premium"/>
    <d v="2022-04-30T00:00:00"/>
    <n v="1399.98"/>
    <n v="1399.98"/>
    <n v="139.99800000000002"/>
    <n v="0.1"/>
  </r>
  <r>
    <s v="TRX0010"/>
    <d v="2025-01-31T00:00:00"/>
    <s v="CUST026"/>
    <s v="Karen Hill"/>
    <s v="P002"/>
    <x v="5"/>
    <s v="Electronics"/>
    <n v="4"/>
    <n v="699.99"/>
    <s v="Debit Card"/>
    <x v="3"/>
    <s v="Premium"/>
    <d v="2022-05-11T00:00:00"/>
    <n v="2799.96"/>
    <n v="2799.96"/>
    <n v="279.99600000000004"/>
    <n v="0.1"/>
  </r>
  <r>
    <s v="TRX0069"/>
    <d v="2025-01-31T00:00:00"/>
    <s v="CUST029"/>
    <s v="Edward Mitchell"/>
    <s v="P010"/>
    <x v="8"/>
    <s v="Electronics"/>
    <n v="2"/>
    <n v="89.99"/>
    <s v="Debit Card"/>
    <x v="1"/>
    <s v="Basic"/>
    <d v="2022-08-04T00:00:00"/>
    <n v="179.98"/>
    <n v="179.98"/>
    <n v="17.998000000000001"/>
    <n v="0.1"/>
  </r>
  <r>
    <s v="TRX0166"/>
    <d v="2025-01-31T00:00:00"/>
    <s v="CUST003"/>
    <s v="Michael Brown"/>
    <s v="P010"/>
    <x v="8"/>
    <s v="Electronics"/>
    <n v="3"/>
    <n v="89.99"/>
    <s v="Debit Card"/>
    <x v="1"/>
    <s v="Premium"/>
    <d v="2024-01-16T00:00:00"/>
    <n v="269.97000000000003"/>
    <n v="269.97000000000003"/>
    <n v="26.997000000000003"/>
    <n v="0.1"/>
  </r>
  <r>
    <s v="TRX0219"/>
    <d v="2025-02-04T00:00:00"/>
    <s v="CUST037"/>
    <s v="Arthur Edwards"/>
    <s v="P005"/>
    <x v="1"/>
    <s v="Appliances"/>
    <n v="1"/>
    <n v="59.99"/>
    <s v="Debit Card"/>
    <x v="0"/>
    <s v="Standard"/>
    <d v="2023-04-29T00:00:00"/>
    <n v="59.99"/>
    <n v="59.99"/>
    <n v="5.9990000000000006"/>
    <n v="0.1"/>
  </r>
  <r>
    <s v="TRX0024"/>
    <d v="2025-02-07T00:00:00"/>
    <s v="CUST042"/>
    <s v="Ruth Brooks"/>
    <s v="P008"/>
    <x v="2"/>
    <s v="Furniture"/>
    <n v="3"/>
    <n v="149.99"/>
    <s v="Debit Card"/>
    <x v="2"/>
    <s v="Premium"/>
    <d v="2022-01-03T00:00:00"/>
    <n v="449.97"/>
    <n v="449.97"/>
    <n v="44.997000000000007"/>
    <n v="0.1"/>
  </r>
  <r>
    <s v="TRX0105"/>
    <d v="2025-02-07T00:00:00"/>
    <s v="CUST048"/>
    <s v="Virginia Sanders"/>
    <s v="P007"/>
    <x v="6"/>
    <s v="Furniture"/>
    <n v="5"/>
    <n v="299.99"/>
    <s v="Credit Card"/>
    <x v="1"/>
    <s v="Basic"/>
    <d v="2023-02-02T00:00:00"/>
    <n v="1499.95"/>
    <n v="1499.95"/>
    <n v="149.995"/>
    <n v="0.1"/>
  </r>
  <r>
    <s v="TRX0011"/>
    <d v="2025-02-08T00:00:00"/>
    <s v="CUST040"/>
    <s v="Sharon Butler"/>
    <s v="P005"/>
    <x v="1"/>
    <s v="Appliances"/>
    <n v="5"/>
    <n v="59.99"/>
    <s v="Debit Card"/>
    <x v="0"/>
    <s v="Standard"/>
    <d v="2023-09-08T00:00:00"/>
    <n v="299.95"/>
    <n v="299.95"/>
    <n v="29.995000000000001"/>
    <n v="0.1"/>
  </r>
  <r>
    <s v="TRX0187"/>
    <d v="2025-02-13T00:00:00"/>
    <s v="CUST036"/>
    <s v="Nancy Collins"/>
    <s v="P004"/>
    <x v="7"/>
    <s v="Appliances"/>
    <n v="3"/>
    <n v="79.989999999999995"/>
    <s v="Cash"/>
    <x v="4"/>
    <s v="Premium"/>
    <d v="2021-08-28T00:00:00"/>
    <n v="239.97"/>
    <n v="239.97"/>
    <n v="23.997"/>
    <n v="0.1"/>
  </r>
  <r>
    <s v="TRX0089"/>
    <d v="2025-02-16T00:00:00"/>
    <s v="CUST021"/>
    <s v="Kevin Scott"/>
    <s v="P006"/>
    <x v="9"/>
    <s v="Furniture"/>
    <n v="3"/>
    <n v="199.99"/>
    <s v="Cash"/>
    <x v="0"/>
    <s v="Basic"/>
    <d v="2022-06-23T00:00:00"/>
    <n v="599.97"/>
    <n v="599.97"/>
    <n v="59.997000000000007"/>
    <n v="0.1"/>
  </r>
  <r>
    <s v="TRX0196"/>
    <d v="2025-02-16T00:00:00"/>
    <s v="CUST023"/>
    <s v="Paul Baker"/>
    <s v="P010"/>
    <x v="8"/>
    <s v="Electronics"/>
    <n v="2"/>
    <n v="89.99"/>
    <s v="PayPal"/>
    <x v="0"/>
    <s v="Basic"/>
    <d v="2023-11-27T00:00:00"/>
    <n v="179.98"/>
    <n v="179.98"/>
    <n v="17.998000000000001"/>
    <n v="0.1"/>
  </r>
  <r>
    <s v="TRX0118"/>
    <d v="2025-02-17T00:00:00"/>
    <s v="CUST015"/>
    <s v="Richard Lee"/>
    <s v="P008"/>
    <x v="2"/>
    <s v="Furniture"/>
    <n v="2"/>
    <n v="149.99"/>
    <s v="Cash"/>
    <x v="1"/>
    <s v="Premium"/>
    <d v="2022-06-16T00:00:00"/>
    <n v="299.98"/>
    <n v="299.98"/>
    <n v="29.998000000000005"/>
    <n v="0.1"/>
  </r>
  <r>
    <s v="TRX0179"/>
    <d v="2025-02-19T00:00:00"/>
    <s v="CUST029"/>
    <s v="Edward Mitchell"/>
    <s v="P002"/>
    <x v="5"/>
    <s v="Electronics"/>
    <n v="5"/>
    <n v="699.99"/>
    <s v="PayPal"/>
    <x v="1"/>
    <s v="Premium"/>
    <d v="2024-03-01T00:00:00"/>
    <n v="3499.95"/>
    <n v="3499.95"/>
    <n v="349.995"/>
    <n v="0.1"/>
  </r>
  <r>
    <s v="TRX0168"/>
    <d v="2025-02-19T00:00:00"/>
    <s v="CUST003"/>
    <s v="Michael Brown"/>
    <s v="P008"/>
    <x v="2"/>
    <s v="Furniture"/>
    <n v="3"/>
    <n v="149.99"/>
    <s v="PayPal"/>
    <x v="0"/>
    <s v="Standard"/>
    <d v="2022-03-13T00:00:00"/>
    <n v="449.97"/>
    <n v="449.97"/>
    <n v="44.997000000000007"/>
    <n v="0.1"/>
  </r>
  <r>
    <s v="TRX0214"/>
    <d v="2025-02-20T00:00:00"/>
    <s v="CUST018"/>
    <s v="Barbara Young"/>
    <s v="P001"/>
    <x v="4"/>
    <s v="Electronics"/>
    <n v="3"/>
    <n v="899.99"/>
    <s v="Cash"/>
    <x v="4"/>
    <s v="Standard"/>
    <d v="2022-02-21T00:00:00"/>
    <n v="2699.97"/>
    <n v="2699.97"/>
    <n v="269.99700000000001"/>
    <n v="0.1"/>
  </r>
  <r>
    <s v="TRX0221"/>
    <d v="2025-02-20T00:00:00"/>
    <s v="CUST033"/>
    <s v="Frank Torres"/>
    <s v="P006"/>
    <x v="9"/>
    <s v="Furniture"/>
    <n v="3"/>
    <n v="199.99"/>
    <s v="Cash"/>
    <x v="3"/>
    <s v="Premium"/>
    <d v="2022-09-19T00:00:00"/>
    <n v="599.97"/>
    <n v="599.97"/>
    <n v="59.997000000000007"/>
    <n v="0.1"/>
  </r>
  <r>
    <s v="TRX0083"/>
    <d v="2025-02-22T00:00:00"/>
    <s v="CUST017"/>
    <s v="Charles Allen"/>
    <s v="P007"/>
    <x v="6"/>
    <s v="Furniture"/>
    <n v="5"/>
    <n v="299.99"/>
    <s v="Cash"/>
    <x v="3"/>
    <s v="Standard"/>
    <d v="2023-08-04T00:00:00"/>
    <n v="1499.95"/>
    <n v="1499.95"/>
    <n v="149.995"/>
    <n v="0.1"/>
  </r>
  <r>
    <s v="TRX0151"/>
    <d v="2025-02-22T00:00:00"/>
    <s v="CUST040"/>
    <s v="Sharon Butler"/>
    <s v="P002"/>
    <x v="5"/>
    <s v="Electronics"/>
    <n v="1"/>
    <n v="699.99"/>
    <s v="PayPal"/>
    <x v="3"/>
    <s v="Basic"/>
    <d v="2023-01-08T00:00:00"/>
    <n v="699.99"/>
    <n v="699.99"/>
    <n v="69.999000000000009"/>
    <n v="0.1"/>
  </r>
  <r>
    <s v="TRX0047"/>
    <d v="2025-02-23T00:00:00"/>
    <s v="CUST042"/>
    <s v="Ruth Brooks"/>
    <s v="P002"/>
    <x v="5"/>
    <s v="Electronics"/>
    <n v="1"/>
    <n v="699.99"/>
    <s v="Cash"/>
    <x v="2"/>
    <s v="Premium"/>
    <d v="2022-01-22T00:00:00"/>
    <n v="699.99"/>
    <n v="699.99"/>
    <n v="69.999000000000009"/>
    <n v="0.1"/>
  </r>
  <r>
    <s v="TRX0200"/>
    <d v="2025-02-23T00:00:00"/>
    <s v="CUST037"/>
    <s v="Arthur Edwards"/>
    <s v="P008"/>
    <x v="2"/>
    <s v="Furniture"/>
    <n v="4"/>
    <n v="149.99"/>
    <s v="PayPal"/>
    <x v="2"/>
    <s v="Premium"/>
    <d v="2021-08-04T00:00:00"/>
    <n v="599.96"/>
    <n v="599.96"/>
    <n v="59.996000000000009"/>
    <n v="0.1"/>
  </r>
  <r>
    <s v="TRX0062"/>
    <d v="2025-02-23T00:00:00"/>
    <s v="CUST016"/>
    <s v="Elizabeth Hall"/>
    <s v="P010"/>
    <x v="8"/>
    <s v="Electronics"/>
    <n v="5"/>
    <n v="89.99"/>
    <s v="PayPal"/>
    <x v="3"/>
    <s v="Premium"/>
    <d v="2023-08-02T00:00:00"/>
    <n v="449.95"/>
    <n v="449.95"/>
    <n v="44.995000000000005"/>
    <n v="0.1"/>
  </r>
  <r>
    <s v="TRX0182"/>
    <d v="2025-02-24T00:00:00"/>
    <s v="CUST031"/>
    <s v="Steven Turner"/>
    <s v="P006"/>
    <x v="9"/>
    <s v="Furniture"/>
    <n v="2"/>
    <n v="199.99"/>
    <s v="Cash"/>
    <x v="0"/>
    <s v="Premium"/>
    <d v="2022-01-12T00:00:00"/>
    <n v="399.98"/>
    <n v="399.98"/>
    <n v="39.998000000000005"/>
    <n v="0.1"/>
  </r>
  <r>
    <s v="TRX0229"/>
    <d v="2025-02-27T00:00:00"/>
    <s v="CUST015"/>
    <s v="Richard Lee"/>
    <s v="P005"/>
    <x v="1"/>
    <s v="Appliances"/>
    <n v="4"/>
    <n v="59.99"/>
    <s v="Cash"/>
    <x v="3"/>
    <s v="Standard"/>
    <d v="2023-05-24T00:00:00"/>
    <n v="239.96"/>
    <n v="239.96"/>
    <n v="23.996000000000002"/>
    <n v="0.1"/>
  </r>
  <r>
    <s v="TRX0048"/>
    <d v="2025-02-27T00:00:00"/>
    <s v="CUST048"/>
    <s v="Virginia Sanders"/>
    <s v="P007"/>
    <x v="6"/>
    <s v="Furniture"/>
    <n v="2"/>
    <n v="299.99"/>
    <s v="PayPal"/>
    <x v="1"/>
    <s v="Basic"/>
    <d v="2022-01-15T00:00:00"/>
    <n v="599.98"/>
    <n v="599.98"/>
    <n v="59.998000000000005"/>
    <n v="0.1"/>
  </r>
  <r>
    <s v="TRX0227"/>
    <d v="2025-03-02T00:00:00"/>
    <s v="CUST017"/>
    <s v="Charles Allen"/>
    <s v="P008"/>
    <x v="2"/>
    <s v="Furniture"/>
    <n v="2"/>
    <n v="149.99"/>
    <s v="Cash"/>
    <x v="0"/>
    <s v="Basic"/>
    <d v="2023-05-22T00:00:00"/>
    <n v="299.98"/>
    <n v="299.98"/>
    <n v="29.998000000000005"/>
    <n v="0.1"/>
  </r>
  <r>
    <s v="TRX0226"/>
    <d v="2025-03-04T00:00:00"/>
    <s v="CUST039"/>
    <s v="Lawrence Reed"/>
    <s v="P002"/>
    <x v="5"/>
    <s v="Electronics"/>
    <n v="5"/>
    <n v="699.99"/>
    <s v="Debit Card"/>
    <x v="4"/>
    <s v="Premium"/>
    <d v="2023-08-23T00:00:00"/>
    <n v="3499.95"/>
    <n v="3499.95"/>
    <n v="349.995"/>
    <n v="0.1"/>
  </r>
  <r>
    <s v="TRX0053"/>
    <d v="2025-03-05T00:00:00"/>
    <s v="CUST043"/>
    <s v="Dennis Gray"/>
    <s v="P005"/>
    <x v="1"/>
    <s v="Appliances"/>
    <n v="5"/>
    <n v="59.99"/>
    <s v="Cash"/>
    <x v="3"/>
    <s v="Premium"/>
    <d v="2023-12-31T00:00:00"/>
    <n v="299.95"/>
    <n v="299.95"/>
    <n v="29.995000000000001"/>
    <n v="0.1"/>
  </r>
  <r>
    <s v="TRX0233"/>
    <d v="2025-03-07T00:00:00"/>
    <s v="CUST023"/>
    <s v="Paul Baker"/>
    <s v="P010"/>
    <x v="8"/>
    <s v="Electronics"/>
    <n v="2"/>
    <n v="89.99"/>
    <s v="Credit Card"/>
    <x v="3"/>
    <s v="Premium"/>
    <d v="2024-01-04T00:00:00"/>
    <n v="179.98"/>
    <n v="179.98"/>
    <n v="17.998000000000001"/>
    <n v="0.1"/>
  </r>
  <r>
    <s v="TRX0175"/>
    <d v="2025-03-07T00:00:00"/>
    <s v="CUST030"/>
    <s v="Helen Roberts"/>
    <s v="P009"/>
    <x v="0"/>
    <s v="Electronics"/>
    <n v="5"/>
    <n v="249.99"/>
    <s v="Cash"/>
    <x v="4"/>
    <s v="Standard"/>
    <d v="2021-12-10T00:00:00"/>
    <n v="1249.95"/>
    <n v="1249.95"/>
    <n v="124.995"/>
    <n v="0.1"/>
  </r>
  <r>
    <s v="TRX0186"/>
    <d v="2025-03-08T00:00:00"/>
    <s v="CUST039"/>
    <s v="Lawrence Reed"/>
    <s v="P008"/>
    <x v="2"/>
    <s v="Furniture"/>
    <n v="2"/>
    <n v="149.99"/>
    <s v="PayPal"/>
    <x v="0"/>
    <s v="Premium"/>
    <d v="2022-03-12T00:00:00"/>
    <n v="299.98"/>
    <n v="299.98"/>
    <n v="29.998000000000005"/>
    <n v="0.1"/>
  </r>
  <r>
    <s v="TRX0016"/>
    <d v="2025-03-08T00:00:00"/>
    <s v="CUST035"/>
    <s v="Harry Morgan"/>
    <s v="P001"/>
    <x v="4"/>
    <s v="Electronics"/>
    <n v="5"/>
    <n v="899.99"/>
    <s v="PayPal"/>
    <x v="4"/>
    <s v="Premium"/>
    <d v="2024-04-07T00:00:00"/>
    <n v="4499.95"/>
    <n v="4499.95"/>
    <n v="449.995"/>
    <n v="0.1"/>
  </r>
  <r>
    <s v="TRX0199"/>
    <d v="2025-03-08T00:00:00"/>
    <s v="CUST017"/>
    <s v="Charles Allen"/>
    <s v="P008"/>
    <x v="2"/>
    <s v="Furniture"/>
    <n v="4"/>
    <n v="149.99"/>
    <s v="Cash"/>
    <x v="0"/>
    <s v="Standard"/>
    <d v="2023-12-03T00:00:00"/>
    <n v="599.96"/>
    <n v="599.96"/>
    <n v="59.996000000000009"/>
    <n v="0.1"/>
  </r>
  <r>
    <s v="TRX0038"/>
    <d v="2025-03-10T00:00:00"/>
    <s v="CUST035"/>
    <s v="Harry Morgan"/>
    <s v="P009"/>
    <x v="0"/>
    <s v="Electronics"/>
    <n v="1"/>
    <n v="249.99"/>
    <s v="Cash"/>
    <x v="2"/>
    <s v="Standard"/>
    <d v="2023-07-10T00:00:00"/>
    <n v="249.99"/>
    <n v="249.99"/>
    <n v="24.999000000000002"/>
    <n v="0.1"/>
  </r>
  <r>
    <s v="TRX0014"/>
    <d v="2025-03-18T00:00:00"/>
    <s v="CUST033"/>
    <s v="Frank Torres"/>
    <s v="P005"/>
    <x v="1"/>
    <s v="Appliances"/>
    <n v="2"/>
    <n v="59.99"/>
    <s v="Credit Card"/>
    <x v="3"/>
    <s v="Basic"/>
    <d v="2023-09-24T00:00:00"/>
    <n v="119.98"/>
    <n v="119.98"/>
    <n v="11.998000000000001"/>
    <n v="0.1"/>
  </r>
  <r>
    <s v="TRX0003"/>
    <d v="2025-03-21T00:00:00"/>
    <s v="CUST002"/>
    <s v="Emma Wilson"/>
    <s v="P008"/>
    <x v="2"/>
    <s v="Furniture"/>
    <n v="2"/>
    <n v="149.99"/>
    <s v="Cash"/>
    <x v="3"/>
    <s v="Premium"/>
    <d v="2023-11-03T00:00:00"/>
    <n v="299.98"/>
    <n v="299.98"/>
    <n v="29.998000000000005"/>
    <n v="0.1"/>
  </r>
  <r>
    <s v="TRX0124"/>
    <d v="2025-03-21T00:00:00"/>
    <s v="CUST040"/>
    <s v="Sharon Butler"/>
    <s v="P001"/>
    <x v="4"/>
    <s v="Electronics"/>
    <n v="3"/>
    <n v="899.99"/>
    <s v="Debit Card"/>
    <x v="2"/>
    <s v="Premium"/>
    <d v="2022-11-11T00:00:00"/>
    <n v="2699.97"/>
    <n v="2699.97"/>
    <n v="269.99700000000001"/>
    <n v="0.1"/>
  </r>
  <r>
    <s v="TRX0013"/>
    <d v="2025-03-21T00:00:00"/>
    <s v="CUST024"/>
    <s v="Dorothy Nelson"/>
    <s v="P001"/>
    <x v="4"/>
    <s v="Electronics"/>
    <n v="3"/>
    <n v="899.99"/>
    <s v="PayPal"/>
    <x v="2"/>
    <s v="Basic"/>
    <d v="2023-02-18T00:00:00"/>
    <n v="2699.97"/>
    <n v="2699.97"/>
    <n v="269.99700000000001"/>
    <n v="0.1"/>
  </r>
  <r>
    <s v="TRX0019"/>
    <d v="2025-03-23T00:00:00"/>
    <s v="CUST023"/>
    <s v="Paul Baker"/>
    <s v="P007"/>
    <x v="6"/>
    <s v="Furniture"/>
    <n v="3"/>
    <n v="299.99"/>
    <s v="Credit Card"/>
    <x v="3"/>
    <s v="Premium"/>
    <d v="2023-11-04T00:00:00"/>
    <n v="899.97"/>
    <n v="899.97"/>
    <n v="89.997000000000014"/>
    <n v="0.1"/>
  </r>
  <r>
    <s v="TRX0050"/>
    <d v="2025-03-24T00:00:00"/>
    <s v="CUST001"/>
    <s v="John Smith"/>
    <s v="P008"/>
    <x v="2"/>
    <s v="Furniture"/>
    <n v="4"/>
    <n v="149.99"/>
    <s v="PayPal"/>
    <x v="3"/>
    <s v="Standard"/>
    <d v="2021-12-30T00:00:00"/>
    <n v="599.96"/>
    <n v="599.96"/>
    <n v="59.996000000000009"/>
    <n v="0.1"/>
  </r>
  <r>
    <s v="TRX0152"/>
    <d v="2025-03-27T00:00:00"/>
    <s v="CUST044"/>
    <s v="Cynthia Price"/>
    <s v="P004"/>
    <x v="7"/>
    <s v="Appliances"/>
    <n v="4"/>
    <n v="79.989999999999995"/>
    <s v="Credit Card"/>
    <x v="0"/>
    <s v="Basic"/>
    <d v="2023-12-28T00:00:00"/>
    <n v="319.95999999999998"/>
    <n v="319.95999999999998"/>
    <n v="31.995999999999999"/>
    <n v="0.1"/>
  </r>
  <r>
    <s v="TRX0213"/>
    <d v="2025-03-29T00:00:00"/>
    <s v="CUST020"/>
    <s v="Margaret Wright"/>
    <s v="P010"/>
    <x v="8"/>
    <s v="Electronics"/>
    <n v="5"/>
    <n v="89.99"/>
    <s v="PayPal"/>
    <x v="1"/>
    <s v="Basic"/>
    <d v="2022-05-23T00:00:00"/>
    <n v="449.95"/>
    <n v="449.95"/>
    <n v="44.995000000000005"/>
    <n v="0.1"/>
  </r>
  <r>
    <s v="TRX0197"/>
    <d v="2025-03-30T00:00:00"/>
    <s v="CUST048"/>
    <s v="Virginia Sanders"/>
    <s v="P008"/>
    <x v="2"/>
    <s v="Furniture"/>
    <n v="3"/>
    <n v="149.99"/>
    <s v="PayPal"/>
    <x v="0"/>
    <s v="Standard"/>
    <d v="2023-09-02T00:00:00"/>
    <n v="449.97"/>
    <n v="449.97"/>
    <n v="44.997000000000007"/>
    <n v="0.1"/>
  </r>
  <r>
    <s v="TRX0250"/>
    <d v="2025-03-30T00:00:00"/>
    <s v="CUST026"/>
    <s v="Karen Hill"/>
    <s v="P010"/>
    <x v="8"/>
    <s v="Electronics"/>
    <n v="2"/>
    <n v="89.99"/>
    <s v="Debit Card"/>
    <x v="3"/>
    <s v="Premium"/>
    <d v="2021-11-22T00:00:00"/>
    <n v="179.98"/>
    <n v="179.98"/>
    <n v="17.998000000000001"/>
    <n v="0.1"/>
  </r>
  <r>
    <s v="TRX0068"/>
    <d v="2025-04-01T00:00:00"/>
    <s v="CUST044"/>
    <s v="Cynthia Price"/>
    <s v="P002"/>
    <x v="5"/>
    <s v="Electronics"/>
    <n v="2"/>
    <n v="699.99"/>
    <s v="PayPal"/>
    <x v="2"/>
    <s v="Standard"/>
    <d v="2022-02-26T00:00:00"/>
    <n v="1399.98"/>
    <n v="1399.98"/>
    <n v="139.99800000000002"/>
    <n v="0.1"/>
  </r>
  <r>
    <s v="TRX0144"/>
    <d v="2025-04-02T00:00:00"/>
    <s v="CUST029"/>
    <s v="Edward Mitchell"/>
    <s v="P001"/>
    <x v="4"/>
    <s v="Electronics"/>
    <n v="3"/>
    <n v="899.99"/>
    <s v="Cash"/>
    <x v="0"/>
    <s v="Standard"/>
    <d v="2023-01-27T00:00:00"/>
    <n v="2699.97"/>
    <n v="2699.97"/>
    <n v="269.99700000000001"/>
    <n v="0.1"/>
  </r>
  <r>
    <s v="TRX0039"/>
    <d v="2025-04-08T00:00:00"/>
    <s v="CUST048"/>
    <s v="Virginia Sanders"/>
    <s v="P004"/>
    <x v="7"/>
    <s v="Appliances"/>
    <n v="3"/>
    <n v="79.989999999999995"/>
    <s v="Credit Card"/>
    <x v="2"/>
    <s v="Basic"/>
    <d v="2021-11-11T00:00:00"/>
    <n v="239.97"/>
    <n v="239.97"/>
    <n v="23.997"/>
    <n v="0.1"/>
  </r>
  <r>
    <s v="TRX0116"/>
    <d v="2025-04-09T00:00:00"/>
    <s v="CUST009"/>
    <s v="Robert Thomas"/>
    <s v="P010"/>
    <x v="8"/>
    <s v="Electronics"/>
    <n v="1"/>
    <n v="89.99"/>
    <s v="Debit Card"/>
    <x v="4"/>
    <s v="Basic"/>
    <d v="2024-02-24T00:00:00"/>
    <n v="89.99"/>
    <n v="89.99"/>
    <n v="8.9990000000000006"/>
    <n v="0.1"/>
  </r>
  <r>
    <s v="TRX0120"/>
    <d v="2025-04-11T00:00:00"/>
    <s v="CUST045"/>
    <s v="Douglas Watson"/>
    <s v="P002"/>
    <x v="5"/>
    <s v="Electronics"/>
    <n v="3"/>
    <n v="699.99"/>
    <s v="PayPal"/>
    <x v="2"/>
    <s v="Basic"/>
    <d v="2022-12-14T00:00:00"/>
    <n v="2099.9699999999998"/>
    <n v="2099.9699999999998"/>
    <n v="209.99699999999999"/>
    <n v="0.1"/>
  </r>
  <r>
    <s v="TRX0103"/>
    <d v="2025-04-11T00:00:00"/>
    <s v="CUST039"/>
    <s v="Lawrence Reed"/>
    <s v="P010"/>
    <x v="8"/>
    <s v="Electronics"/>
    <n v="2"/>
    <n v="89.99"/>
    <s v="Debit Card"/>
    <x v="4"/>
    <s v="Basic"/>
    <d v="2023-06-11T00:00:00"/>
    <n v="179.98"/>
    <n v="179.98"/>
    <n v="17.998000000000001"/>
    <n v="0.1"/>
  </r>
  <r>
    <s v="TRX0064"/>
    <d v="2025-04-11T00:00:00"/>
    <s v="CUST031"/>
    <s v="Steven Turner"/>
    <s v="P010"/>
    <x v="8"/>
    <s v="Electronics"/>
    <n v="3"/>
    <n v="89.99"/>
    <s v="Debit Card"/>
    <x v="2"/>
    <s v="Premium"/>
    <d v="2022-11-13T00:00:00"/>
    <n v="269.97000000000003"/>
    <n v="269.97000000000003"/>
    <n v="26.997000000000003"/>
    <n v="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x v="0"/>
    <x v="0"/>
    <s v="Basic"/>
    <d v="2021-08-17T00:00:00"/>
    <n v="749.97"/>
    <n v="749.97"/>
    <n v="74.997"/>
    <n v="0.1"/>
  </r>
  <r>
    <s v="TRX0023"/>
    <x v="1"/>
    <s v="CUST013"/>
    <s v="Joseph Jackson"/>
    <s v="P009"/>
    <x v="0"/>
    <s v="Electronics"/>
    <n v="3"/>
    <n v="249.99"/>
    <x v="1"/>
    <x v="0"/>
    <s v="Premium"/>
    <d v="2022-01-14T00:00:00"/>
    <n v="749.97"/>
    <n v="749.97"/>
    <n v="74.997"/>
    <n v="0.1"/>
  </r>
  <r>
    <s v="TRX0139"/>
    <x v="2"/>
    <s v="CUST021"/>
    <s v="Kevin Scott"/>
    <s v="P005"/>
    <x v="1"/>
    <s v="Appliances"/>
    <n v="3"/>
    <n v="59.99"/>
    <x v="2"/>
    <x v="1"/>
    <s v="Standard"/>
    <d v="2023-12-02T00:00:00"/>
    <n v="179.97"/>
    <n v="179.97"/>
    <n v="17.997"/>
    <n v="0.1"/>
  </r>
  <r>
    <s v="TRX0043"/>
    <x v="3"/>
    <s v="CUST046"/>
    <s v="Kathleen Bennett"/>
    <s v="P005"/>
    <x v="1"/>
    <s v="Appliances"/>
    <n v="3"/>
    <n v="59.99"/>
    <x v="0"/>
    <x v="2"/>
    <s v="Premium"/>
    <d v="2023-07-07T00:00:00"/>
    <n v="179.97"/>
    <n v="179.97"/>
    <n v="17.997"/>
    <n v="0.1"/>
  </r>
  <r>
    <s v="TRX0212"/>
    <x v="3"/>
    <s v="CUST003"/>
    <s v="Michael Brown"/>
    <s v="P008"/>
    <x v="2"/>
    <s v="Furniture"/>
    <n v="5"/>
    <n v="149.99"/>
    <x v="1"/>
    <x v="2"/>
    <s v="Premium"/>
    <d v="2024-01-04T00:00:00"/>
    <n v="749.95"/>
    <n v="749.95"/>
    <n v="74.995000000000005"/>
    <n v="0.1"/>
  </r>
  <r>
    <s v="TRX0092"/>
    <x v="4"/>
    <s v="CUST024"/>
    <s v="Dorothy Nelson"/>
    <s v="P005"/>
    <x v="1"/>
    <s v="Appliances"/>
    <n v="2"/>
    <n v="59.99"/>
    <x v="0"/>
    <x v="3"/>
    <s v="Standard"/>
    <d v="2022-07-04T00:00:00"/>
    <n v="119.98"/>
    <n v="119.98"/>
    <n v="11.998000000000001"/>
    <n v="0.1"/>
  </r>
  <r>
    <s v="TRX0193"/>
    <x v="4"/>
    <s v="CUST024"/>
    <s v="Dorothy Nelson"/>
    <s v="P003"/>
    <x v="3"/>
    <s v="Electronics"/>
    <n v="5"/>
    <n v="149.99"/>
    <x v="1"/>
    <x v="0"/>
    <s v="Standard"/>
    <d v="2021-08-10T00:00:00"/>
    <n v="749.95"/>
    <n v="749.95"/>
    <n v="74.995000000000005"/>
    <n v="0.1"/>
  </r>
  <r>
    <s v="TRX0240"/>
    <x v="4"/>
    <s v="CUST017"/>
    <s v="Charles Allen"/>
    <s v="P005"/>
    <x v="1"/>
    <s v="Appliances"/>
    <n v="3"/>
    <n v="59.99"/>
    <x v="3"/>
    <x v="1"/>
    <s v="Basic"/>
    <d v="2023-03-22T00:00:00"/>
    <n v="179.97"/>
    <n v="179.97"/>
    <n v="17.997"/>
    <n v="0.1"/>
  </r>
  <r>
    <s v="TRX0135"/>
    <x v="5"/>
    <s v="CUST009"/>
    <s v="Robert Thomas"/>
    <s v="P001"/>
    <x v="4"/>
    <s v="Electronics"/>
    <n v="3"/>
    <n v="899.99"/>
    <x v="2"/>
    <x v="4"/>
    <s v="Standard"/>
    <d v="2024-01-08T00:00:00"/>
    <n v="2699.97"/>
    <n v="2699.97"/>
    <n v="269.99700000000001"/>
    <n v="0.1"/>
  </r>
  <r>
    <s v="TRX0185"/>
    <x v="6"/>
    <s v="CUST026"/>
    <s v="Karen Hill"/>
    <s v="P005"/>
    <x v="1"/>
    <s v="Appliances"/>
    <n v="3"/>
    <n v="59.99"/>
    <x v="0"/>
    <x v="3"/>
    <s v="Premium"/>
    <d v="2023-10-08T00:00:00"/>
    <n v="179.97"/>
    <n v="179.97"/>
    <n v="17.997"/>
    <n v="0.1"/>
  </r>
  <r>
    <s v="TRX0138"/>
    <x v="6"/>
    <s v="CUST022"/>
    <s v="Susan Green"/>
    <s v="P008"/>
    <x v="2"/>
    <s v="Furniture"/>
    <n v="1"/>
    <n v="149.99"/>
    <x v="1"/>
    <x v="3"/>
    <s v="Standard"/>
    <d v="2023-06-26T00:00:00"/>
    <n v="149.99"/>
    <n v="149.99"/>
    <n v="14.999000000000002"/>
    <n v="0.1"/>
  </r>
  <r>
    <s v="TRX0209"/>
    <x v="6"/>
    <s v="CUST046"/>
    <s v="Kathleen Bennett"/>
    <s v="P008"/>
    <x v="2"/>
    <s v="Furniture"/>
    <n v="5"/>
    <n v="149.99"/>
    <x v="3"/>
    <x v="2"/>
    <s v="Basic"/>
    <d v="2022-09-26T00:00:00"/>
    <n v="749.95"/>
    <n v="749.95"/>
    <n v="74.995000000000005"/>
    <n v="0.1"/>
  </r>
  <r>
    <s v="TRX0246"/>
    <x v="6"/>
    <s v="CUST041"/>
    <s v="Peter Richardson"/>
    <s v="P008"/>
    <x v="2"/>
    <s v="Furniture"/>
    <n v="3"/>
    <n v="149.99"/>
    <x v="0"/>
    <x v="2"/>
    <s v="Premium"/>
    <d v="2022-09-02T00:00:00"/>
    <n v="449.97"/>
    <n v="449.97"/>
    <n v="44.997000000000007"/>
    <n v="0.1"/>
  </r>
  <r>
    <s v="TRX0067"/>
    <x v="7"/>
    <s v="CUST043"/>
    <s v="Dennis Gray"/>
    <s v="P005"/>
    <x v="1"/>
    <s v="Appliances"/>
    <n v="3"/>
    <n v="59.99"/>
    <x v="1"/>
    <x v="2"/>
    <s v="Standard"/>
    <d v="2024-02-29T00:00:00"/>
    <n v="179.97"/>
    <n v="179.97"/>
    <n v="17.997"/>
    <n v="0.1"/>
  </r>
  <r>
    <s v="TRX0191"/>
    <x v="7"/>
    <s v="CUST038"/>
    <s v="Michelle Rogers"/>
    <s v="P002"/>
    <x v="5"/>
    <s v="Electronics"/>
    <n v="3"/>
    <n v="699.99"/>
    <x v="1"/>
    <x v="3"/>
    <s v="Basic"/>
    <d v="2022-01-16T00:00:00"/>
    <n v="2099.9699999999998"/>
    <n v="2099.9699999999998"/>
    <n v="209.99699999999999"/>
    <n v="0.1"/>
  </r>
  <r>
    <s v="TRX0230"/>
    <x v="7"/>
    <s v="CUST027"/>
    <s v="George Adams"/>
    <s v="P001"/>
    <x v="4"/>
    <s v="Electronics"/>
    <n v="1"/>
    <n v="899.99"/>
    <x v="3"/>
    <x v="2"/>
    <s v="Standard"/>
    <d v="2022-12-25T00:00:00"/>
    <n v="899.99"/>
    <n v="899.99"/>
    <n v="89.999000000000009"/>
    <n v="0.1"/>
  </r>
  <r>
    <s v="TRX0049"/>
    <x v="8"/>
    <s v="CUST025"/>
    <s v="Mark Carter"/>
    <s v="P008"/>
    <x v="2"/>
    <s v="Furniture"/>
    <n v="4"/>
    <n v="149.99"/>
    <x v="3"/>
    <x v="2"/>
    <s v="Premium"/>
    <d v="2024-03-23T00:00:00"/>
    <n v="599.96"/>
    <n v="599.96"/>
    <n v="59.996000000000009"/>
    <n v="0.1"/>
  </r>
  <r>
    <s v="TRX0134"/>
    <x v="8"/>
    <s v="CUST010"/>
    <s v="Maria Garcia"/>
    <s v="P002"/>
    <x v="5"/>
    <s v="Electronics"/>
    <n v="2"/>
    <n v="699.99"/>
    <x v="0"/>
    <x v="2"/>
    <s v="Basic"/>
    <d v="2022-08-08T00:00:00"/>
    <n v="1399.98"/>
    <n v="1399.98"/>
    <n v="139.99800000000002"/>
    <n v="0.1"/>
  </r>
  <r>
    <s v="TRX0122"/>
    <x v="8"/>
    <s v="CUST025"/>
    <s v="Mark Carter"/>
    <s v="P001"/>
    <x v="4"/>
    <s v="Electronics"/>
    <n v="4"/>
    <n v="899.99"/>
    <x v="1"/>
    <x v="3"/>
    <s v="Standard"/>
    <d v="2024-02-05T00:00:00"/>
    <n v="3599.96"/>
    <n v="3599.96"/>
    <n v="359.99600000000004"/>
    <n v="0.1"/>
  </r>
  <r>
    <s v="TRX0222"/>
    <x v="8"/>
    <s v="CUST048"/>
    <s v="Virginia Sanders"/>
    <s v="P009"/>
    <x v="0"/>
    <s v="Electronics"/>
    <n v="3"/>
    <n v="249.99"/>
    <x v="1"/>
    <x v="2"/>
    <s v="Premium"/>
    <d v="2023-10-25T00:00:00"/>
    <n v="749.97"/>
    <n v="749.97"/>
    <n v="74.997"/>
    <n v="0.1"/>
  </r>
  <r>
    <s v="TRX0231"/>
    <x v="9"/>
    <s v="CUST018"/>
    <s v="Barbara Young"/>
    <s v="P002"/>
    <x v="5"/>
    <s v="Electronics"/>
    <n v="5"/>
    <n v="699.99"/>
    <x v="0"/>
    <x v="3"/>
    <s v="Basic"/>
    <d v="2023-08-29T00:00:00"/>
    <n v="3499.95"/>
    <n v="3499.95"/>
    <n v="349.995"/>
    <n v="0.1"/>
  </r>
  <r>
    <s v="TRX0239"/>
    <x v="10"/>
    <s v="CUST012"/>
    <s v="Patricia Moore"/>
    <s v="P002"/>
    <x v="5"/>
    <s v="Electronics"/>
    <n v="4"/>
    <n v="699.99"/>
    <x v="0"/>
    <x v="4"/>
    <s v="Standard"/>
    <d v="2021-08-01T00:00:00"/>
    <n v="2799.96"/>
    <n v="2799.96"/>
    <n v="279.99600000000004"/>
    <n v="0.1"/>
  </r>
  <r>
    <s v="TRX0204"/>
    <x v="11"/>
    <s v="CUST044"/>
    <s v="Cynthia Price"/>
    <s v="P009"/>
    <x v="0"/>
    <s v="Electronics"/>
    <n v="4"/>
    <n v="249.99"/>
    <x v="2"/>
    <x v="2"/>
    <s v="Standard"/>
    <d v="2021-09-29T00:00:00"/>
    <n v="999.96"/>
    <n v="999.96"/>
    <n v="99.996000000000009"/>
    <n v="0.1"/>
  </r>
  <r>
    <s v="TRX0242"/>
    <x v="12"/>
    <s v="CUST025"/>
    <s v="Mark Carter"/>
    <s v="P007"/>
    <x v="6"/>
    <s v="Furniture"/>
    <n v="4"/>
    <n v="299.99"/>
    <x v="0"/>
    <x v="3"/>
    <s v="Premium"/>
    <d v="2022-06-04T00:00:00"/>
    <n v="1199.96"/>
    <n v="1199.96"/>
    <n v="119.99600000000001"/>
    <n v="0.1"/>
  </r>
  <r>
    <s v="TRX0071"/>
    <x v="13"/>
    <s v="CUST036"/>
    <s v="Nancy Collins"/>
    <s v="P009"/>
    <x v="0"/>
    <s v="Electronics"/>
    <n v="5"/>
    <n v="249.99"/>
    <x v="1"/>
    <x v="3"/>
    <s v="Standard"/>
    <d v="2021-11-25T00:00:00"/>
    <n v="1249.95"/>
    <n v="1249.95"/>
    <n v="124.995"/>
    <n v="0.1"/>
  </r>
  <r>
    <s v="TRX0040"/>
    <x v="14"/>
    <s v="CUST022"/>
    <s v="Susan Green"/>
    <s v="P007"/>
    <x v="6"/>
    <s v="Furniture"/>
    <n v="5"/>
    <n v="299.99"/>
    <x v="2"/>
    <x v="4"/>
    <s v="Basic"/>
    <d v="2023-08-30T00:00:00"/>
    <n v="1499.95"/>
    <n v="1499.95"/>
    <n v="149.995"/>
    <n v="0.1"/>
  </r>
  <r>
    <s v="TRX0235"/>
    <x v="14"/>
    <s v="CUST014"/>
    <s v="Linda Martin"/>
    <s v="P004"/>
    <x v="7"/>
    <s v="Appliances"/>
    <n v="3"/>
    <n v="79.989999999999995"/>
    <x v="2"/>
    <x v="4"/>
    <s v="Premium"/>
    <d v="2023-03-27T00:00:00"/>
    <n v="239.97"/>
    <n v="239.97"/>
    <n v="23.997"/>
    <n v="0.1"/>
  </r>
  <r>
    <s v="TRX0004"/>
    <x v="14"/>
    <s v="CUST012"/>
    <s v="Patricia Moore"/>
    <s v="P010"/>
    <x v="8"/>
    <s v="Electronics"/>
    <n v="5"/>
    <n v="89.99"/>
    <x v="0"/>
    <x v="2"/>
    <s v="Premium"/>
    <d v="2022-12-24T00:00:00"/>
    <n v="449.95"/>
    <n v="449.95"/>
    <n v="44.995000000000005"/>
    <n v="0.1"/>
  </r>
  <r>
    <s v="TRX0063"/>
    <x v="15"/>
    <s v="CUST030"/>
    <s v="Helen Roberts"/>
    <s v="P005"/>
    <x v="1"/>
    <s v="Appliances"/>
    <n v="2"/>
    <n v="59.99"/>
    <x v="3"/>
    <x v="0"/>
    <s v="Standard"/>
    <d v="2023-10-15T00:00:00"/>
    <n v="119.98"/>
    <n v="119.98"/>
    <n v="11.998000000000001"/>
    <n v="0.1"/>
  </r>
  <r>
    <s v="TRX0241"/>
    <x v="16"/>
    <s v="CUST029"/>
    <s v="Edward Mitchell"/>
    <s v="P005"/>
    <x v="1"/>
    <s v="Appliances"/>
    <n v="4"/>
    <n v="59.99"/>
    <x v="3"/>
    <x v="4"/>
    <s v="Standard"/>
    <d v="2022-11-02T00:00:00"/>
    <n v="239.96"/>
    <n v="239.96"/>
    <n v="23.996000000000002"/>
    <n v="0.1"/>
  </r>
  <r>
    <s v="TRX0029"/>
    <x v="16"/>
    <s v="CUST017"/>
    <s v="Charles Allen"/>
    <s v="P006"/>
    <x v="9"/>
    <s v="Furniture"/>
    <n v="5"/>
    <n v="199.99"/>
    <x v="0"/>
    <x v="1"/>
    <s v="Standard"/>
    <d v="2021-08-04T00:00:00"/>
    <n v="999.95"/>
    <n v="999.95"/>
    <n v="99.995000000000005"/>
    <n v="0.1"/>
  </r>
  <r>
    <s v="TRX0194"/>
    <x v="17"/>
    <s v="CUST006"/>
    <s v="Lisa Anderson"/>
    <s v="P008"/>
    <x v="2"/>
    <s v="Furniture"/>
    <n v="2"/>
    <n v="149.99"/>
    <x v="1"/>
    <x v="3"/>
    <s v="Basic"/>
    <d v="2022-09-19T00:00:00"/>
    <n v="299.98"/>
    <n v="299.98"/>
    <n v="29.998000000000005"/>
    <n v="0.1"/>
  </r>
  <r>
    <s v="TRX0130"/>
    <x v="18"/>
    <s v="CUST002"/>
    <s v="Emma Wilson"/>
    <s v="P008"/>
    <x v="2"/>
    <s v="Furniture"/>
    <n v="3"/>
    <n v="149.99"/>
    <x v="1"/>
    <x v="3"/>
    <s v="Premium"/>
    <d v="2023-05-22T00:00:00"/>
    <n v="449.97"/>
    <n v="449.97"/>
    <n v="44.997000000000007"/>
    <n v="0.1"/>
  </r>
  <r>
    <s v="TRX0041"/>
    <x v="19"/>
    <s v="CUST021"/>
    <s v="Kevin Scott"/>
    <s v="P001"/>
    <x v="4"/>
    <s v="Electronics"/>
    <n v="1"/>
    <n v="899.99"/>
    <x v="1"/>
    <x v="3"/>
    <s v="Premium"/>
    <d v="2022-01-17T00:00:00"/>
    <n v="899.99"/>
    <n v="899.99"/>
    <n v="89.999000000000009"/>
    <n v="0.1"/>
  </r>
  <r>
    <s v="TRX0232"/>
    <x v="20"/>
    <s v="CUST012"/>
    <s v="Patricia Moore"/>
    <s v="P007"/>
    <x v="6"/>
    <s v="Furniture"/>
    <n v="3"/>
    <n v="299.99"/>
    <x v="1"/>
    <x v="4"/>
    <s v="Basic"/>
    <d v="2022-09-20T00:00:00"/>
    <n v="899.97"/>
    <n v="899.97"/>
    <n v="89.997000000000014"/>
    <n v="0.1"/>
  </r>
  <r>
    <s v="TRX0021"/>
    <x v="21"/>
    <s v="CUST006"/>
    <s v="Lisa Anderson"/>
    <s v="P004"/>
    <x v="7"/>
    <s v="Appliances"/>
    <n v="3"/>
    <n v="79.989999999999995"/>
    <x v="0"/>
    <x v="1"/>
    <s v="Basic"/>
    <d v="2023-04-30T00:00:00"/>
    <n v="239.97"/>
    <n v="239.97"/>
    <n v="23.997"/>
    <n v="0.1"/>
  </r>
  <r>
    <s v="TRX0245"/>
    <x v="22"/>
    <s v="CUST031"/>
    <s v="Steven Turner"/>
    <s v="P006"/>
    <x v="9"/>
    <s v="Furniture"/>
    <n v="3"/>
    <n v="199.99"/>
    <x v="1"/>
    <x v="2"/>
    <s v="Premium"/>
    <d v="2024-01-01T00:00:00"/>
    <n v="599.97"/>
    <n v="599.97"/>
    <n v="59.997000000000007"/>
    <n v="0.1"/>
  </r>
  <r>
    <s v="TRX0015"/>
    <x v="23"/>
    <s v="CUST008"/>
    <s v="Jennifer Taylor"/>
    <s v="P002"/>
    <x v="5"/>
    <s v="Electronics"/>
    <n v="5"/>
    <n v="699.99"/>
    <x v="2"/>
    <x v="3"/>
    <s v="Standard"/>
    <d v="2021-07-30T00:00:00"/>
    <n v="3499.95"/>
    <n v="3499.95"/>
    <n v="349.995"/>
    <n v="0.1"/>
  </r>
  <r>
    <s v="TRX0202"/>
    <x v="24"/>
    <s v="CUST035"/>
    <s v="Harry Morgan"/>
    <s v="P010"/>
    <x v="8"/>
    <s v="Electronics"/>
    <n v="3"/>
    <n v="89.99"/>
    <x v="2"/>
    <x v="0"/>
    <s v="Premium"/>
    <d v="2023-07-13T00:00:00"/>
    <n v="269.97000000000003"/>
    <n v="269.97000000000003"/>
    <n v="26.997000000000003"/>
    <n v="0.1"/>
  </r>
  <r>
    <s v="TRX0042"/>
    <x v="25"/>
    <s v="CUST019"/>
    <s v="Daniel King"/>
    <s v="P004"/>
    <x v="7"/>
    <s v="Appliances"/>
    <n v="1"/>
    <n v="79.989999999999995"/>
    <x v="0"/>
    <x v="2"/>
    <s v="Standard"/>
    <d v="2022-12-22T00:00:00"/>
    <n v="79.989999999999995"/>
    <n v="79.989999999999995"/>
    <n v="7.9989999999999997"/>
    <n v="0.1"/>
  </r>
  <r>
    <s v="TRX0128"/>
    <x v="26"/>
    <s v="CUST040"/>
    <s v="Sharon Butler"/>
    <s v="P005"/>
    <x v="1"/>
    <s v="Appliances"/>
    <n v="2"/>
    <n v="59.99"/>
    <x v="0"/>
    <x v="3"/>
    <s v="Basic"/>
    <d v="2024-04-08T00:00:00"/>
    <n v="119.98"/>
    <n v="119.98"/>
    <n v="11.998000000000001"/>
    <n v="0.1"/>
  </r>
  <r>
    <s v="TRX0117"/>
    <x v="26"/>
    <s v="CUST017"/>
    <s v="Charles Allen"/>
    <s v="P010"/>
    <x v="8"/>
    <s v="Electronics"/>
    <n v="1"/>
    <n v="89.99"/>
    <x v="0"/>
    <x v="2"/>
    <s v="Basic"/>
    <d v="2023-08-03T00:00:00"/>
    <n v="89.99"/>
    <n v="89.99"/>
    <n v="8.9990000000000006"/>
    <n v="0.1"/>
  </r>
  <r>
    <s v="TRX0208"/>
    <x v="27"/>
    <s v="CUST004"/>
    <s v="Sarah Davis"/>
    <s v="P010"/>
    <x v="8"/>
    <s v="Electronics"/>
    <n v="5"/>
    <n v="89.99"/>
    <x v="1"/>
    <x v="4"/>
    <s v="Standard"/>
    <d v="2022-01-26T00:00:00"/>
    <n v="449.95"/>
    <n v="449.95"/>
    <n v="44.995000000000005"/>
    <n v="0.1"/>
  </r>
  <r>
    <s v="TRX0234"/>
    <x v="28"/>
    <s v="CUST013"/>
    <s v="Joseph Jackson"/>
    <s v="P009"/>
    <x v="0"/>
    <s v="Electronics"/>
    <n v="5"/>
    <n v="249.99"/>
    <x v="1"/>
    <x v="4"/>
    <s v="Standard"/>
    <d v="2022-05-26T00:00:00"/>
    <n v="1249.95"/>
    <n v="1249.95"/>
    <n v="124.995"/>
    <n v="0.1"/>
  </r>
  <r>
    <s v="TRX0121"/>
    <x v="28"/>
    <s v="CUST028"/>
    <s v="Betty Campbell"/>
    <s v="P010"/>
    <x v="8"/>
    <s v="Electronics"/>
    <n v="1"/>
    <n v="89.99"/>
    <x v="1"/>
    <x v="1"/>
    <s v="Standard"/>
    <d v="2022-01-21T00:00:00"/>
    <n v="89.99"/>
    <n v="89.99"/>
    <n v="8.9990000000000006"/>
    <n v="0.1"/>
  </r>
  <r>
    <s v="TRX0220"/>
    <x v="29"/>
    <s v="CUST003"/>
    <s v="Michael Brown"/>
    <s v="P008"/>
    <x v="2"/>
    <s v="Furniture"/>
    <n v="2"/>
    <n v="149.99"/>
    <x v="0"/>
    <x v="4"/>
    <s v="Premium"/>
    <d v="2022-03-25T00:00:00"/>
    <n v="299.98"/>
    <n v="299.98"/>
    <n v="29.998000000000005"/>
    <n v="0.1"/>
  </r>
  <r>
    <s v="TRX0093"/>
    <x v="30"/>
    <s v="CUST050"/>
    <s v="Julie Foster"/>
    <s v="P005"/>
    <x v="1"/>
    <s v="Appliances"/>
    <n v="4"/>
    <n v="59.99"/>
    <x v="0"/>
    <x v="4"/>
    <s v="Standard"/>
    <d v="2021-08-27T00:00:00"/>
    <n v="239.96"/>
    <n v="239.96"/>
    <n v="23.996000000000002"/>
    <n v="0.1"/>
  </r>
  <r>
    <s v="TRX0088"/>
    <x v="31"/>
    <s v="CUST006"/>
    <s v="Lisa Anderson"/>
    <s v="P010"/>
    <x v="8"/>
    <s v="Electronics"/>
    <n v="5"/>
    <n v="89.99"/>
    <x v="0"/>
    <x v="0"/>
    <s v="Premium"/>
    <d v="2022-01-18T00:00:00"/>
    <n v="449.95"/>
    <n v="449.95"/>
    <n v="44.995000000000005"/>
    <n v="0.1"/>
  </r>
  <r>
    <s v="TRX0115"/>
    <x v="32"/>
    <s v="CUST012"/>
    <s v="Patricia Moore"/>
    <s v="P010"/>
    <x v="8"/>
    <s v="Electronics"/>
    <n v="2"/>
    <n v="89.99"/>
    <x v="1"/>
    <x v="1"/>
    <s v="Premium"/>
    <d v="2021-10-02T00:00:00"/>
    <n v="179.98"/>
    <n v="179.98"/>
    <n v="17.998000000000001"/>
    <n v="0.1"/>
  </r>
  <r>
    <s v="TRX0154"/>
    <x v="32"/>
    <s v="CUST023"/>
    <s v="Paul Baker"/>
    <s v="P001"/>
    <x v="4"/>
    <s v="Electronics"/>
    <n v="5"/>
    <n v="899.99"/>
    <x v="1"/>
    <x v="1"/>
    <s v="Standard"/>
    <d v="2023-02-17T00:00:00"/>
    <n v="4499.95"/>
    <n v="4499.95"/>
    <n v="449.995"/>
    <n v="0.1"/>
  </r>
  <r>
    <s v="TRX0044"/>
    <x v="32"/>
    <s v="CUST029"/>
    <s v="Edward Mitchell"/>
    <s v="P001"/>
    <x v="4"/>
    <s v="Electronics"/>
    <n v="5"/>
    <n v="899.99"/>
    <x v="2"/>
    <x v="4"/>
    <s v="Premium"/>
    <d v="2023-12-18T00:00:00"/>
    <n v="4499.95"/>
    <n v="4499.95"/>
    <n v="449.995"/>
    <n v="0.1"/>
  </r>
  <r>
    <s v="TRX0061"/>
    <x v="33"/>
    <s v="CUST028"/>
    <s v="Betty Campbell"/>
    <s v="P005"/>
    <x v="1"/>
    <s v="Appliances"/>
    <n v="1"/>
    <n v="59.99"/>
    <x v="3"/>
    <x v="3"/>
    <s v="Premium"/>
    <d v="2023-09-21T00:00:00"/>
    <n v="59.99"/>
    <n v="59.99"/>
    <n v="5.9990000000000006"/>
    <n v="0.1"/>
  </r>
  <r>
    <s v="TRX0150"/>
    <x v="33"/>
    <s v="CUST008"/>
    <s v="Jennifer Taylor"/>
    <s v="P007"/>
    <x v="6"/>
    <s v="Furniture"/>
    <n v="2"/>
    <n v="299.99"/>
    <x v="3"/>
    <x v="4"/>
    <s v="Standard"/>
    <d v="2023-11-23T00:00:00"/>
    <n v="599.98"/>
    <n v="599.98"/>
    <n v="59.998000000000005"/>
    <n v="0.1"/>
  </r>
  <r>
    <s v="TRX0025"/>
    <x v="34"/>
    <s v="CUST049"/>
    <s v="Raymond Ross"/>
    <s v="P010"/>
    <x v="8"/>
    <s v="Electronics"/>
    <n v="4"/>
    <n v="89.99"/>
    <x v="3"/>
    <x v="1"/>
    <s v="Basic"/>
    <d v="2023-12-21T00:00:00"/>
    <n v="359.96"/>
    <n v="359.96"/>
    <n v="35.996000000000002"/>
    <n v="0.1"/>
  </r>
  <r>
    <s v="TRX0078"/>
    <x v="35"/>
    <s v="CUST021"/>
    <s v="Kevin Scott"/>
    <s v="P004"/>
    <x v="7"/>
    <s v="Appliances"/>
    <n v="1"/>
    <n v="79.989999999999995"/>
    <x v="2"/>
    <x v="0"/>
    <s v="Premium"/>
    <d v="2024-03-01T00:00:00"/>
    <n v="79.989999999999995"/>
    <n v="79.989999999999995"/>
    <n v="7.9989999999999997"/>
    <n v="0.1"/>
  </r>
  <r>
    <s v="TRX0007"/>
    <x v="35"/>
    <s v="CUST009"/>
    <s v="Robert Thomas"/>
    <s v="P010"/>
    <x v="8"/>
    <s v="Electronics"/>
    <n v="2"/>
    <n v="89.99"/>
    <x v="0"/>
    <x v="3"/>
    <s v="Basic"/>
    <d v="2021-08-30T00:00:00"/>
    <n v="179.98"/>
    <n v="179.98"/>
    <n v="17.998000000000001"/>
    <n v="0.1"/>
  </r>
  <r>
    <s v="TRX0184"/>
    <x v="36"/>
    <s v="CUST046"/>
    <s v="Kathleen Bennett"/>
    <s v="P002"/>
    <x v="5"/>
    <s v="Electronics"/>
    <n v="3"/>
    <n v="699.99"/>
    <x v="1"/>
    <x v="4"/>
    <s v="Premium"/>
    <d v="2023-06-25T00:00:00"/>
    <n v="2099.9699999999998"/>
    <n v="2099.9699999999998"/>
    <n v="209.99699999999999"/>
    <n v="0.1"/>
  </r>
  <r>
    <s v="TRX0104"/>
    <x v="36"/>
    <s v="CUST012"/>
    <s v="Patricia Moore"/>
    <s v="P001"/>
    <x v="4"/>
    <s v="Electronics"/>
    <n v="4"/>
    <n v="899.99"/>
    <x v="1"/>
    <x v="4"/>
    <s v="Premium"/>
    <d v="2023-03-08T00:00:00"/>
    <n v="3599.96"/>
    <n v="3599.96"/>
    <n v="359.99600000000004"/>
    <n v="0.1"/>
  </r>
  <r>
    <s v="TRX0127"/>
    <x v="37"/>
    <s v="CUST030"/>
    <s v="Helen Roberts"/>
    <s v="P008"/>
    <x v="2"/>
    <s v="Furniture"/>
    <n v="1"/>
    <n v="149.99"/>
    <x v="2"/>
    <x v="4"/>
    <s v="Basic"/>
    <d v="2022-10-17T00:00:00"/>
    <n v="149.99"/>
    <n v="149.99"/>
    <n v="14.999000000000002"/>
    <n v="0.1"/>
  </r>
  <r>
    <s v="TRX0096"/>
    <x v="38"/>
    <s v="CUST002"/>
    <s v="Emma Wilson"/>
    <s v="P010"/>
    <x v="8"/>
    <s v="Electronics"/>
    <n v="2"/>
    <n v="89.99"/>
    <x v="2"/>
    <x v="0"/>
    <s v="Premium"/>
    <d v="2023-12-15T00:00:00"/>
    <n v="179.98"/>
    <n v="179.98"/>
    <n v="17.998000000000001"/>
    <n v="0.1"/>
  </r>
  <r>
    <s v="TRX0192"/>
    <x v="39"/>
    <s v="CUST017"/>
    <s v="Charles Allen"/>
    <s v="P010"/>
    <x v="8"/>
    <s v="Electronics"/>
    <n v="1"/>
    <n v="89.99"/>
    <x v="2"/>
    <x v="3"/>
    <s v="Standard"/>
    <d v="2022-08-29T00:00:00"/>
    <n v="89.99"/>
    <n v="89.99"/>
    <n v="8.9990000000000006"/>
    <n v="0.1"/>
  </r>
  <r>
    <s v="TRX0052"/>
    <x v="40"/>
    <s v="CUST022"/>
    <s v="Susan Green"/>
    <s v="P010"/>
    <x v="8"/>
    <s v="Electronics"/>
    <n v="1"/>
    <n v="89.99"/>
    <x v="0"/>
    <x v="1"/>
    <s v="Standard"/>
    <d v="2022-02-19T00:00:00"/>
    <n v="89.99"/>
    <n v="89.99"/>
    <n v="8.9990000000000006"/>
    <n v="0.1"/>
  </r>
  <r>
    <s v="TRX0070"/>
    <x v="40"/>
    <s v="CUST007"/>
    <s v="David Martinez"/>
    <s v="P004"/>
    <x v="7"/>
    <s v="Appliances"/>
    <n v="5"/>
    <n v="79.989999999999995"/>
    <x v="3"/>
    <x v="0"/>
    <s v="Basic"/>
    <d v="2023-02-24T00:00:00"/>
    <n v="399.95"/>
    <n v="399.95"/>
    <n v="39.995000000000005"/>
    <n v="0.1"/>
  </r>
  <r>
    <s v="TRX0086"/>
    <x v="41"/>
    <s v="CUST020"/>
    <s v="Margaret Wright"/>
    <s v="P008"/>
    <x v="2"/>
    <s v="Furniture"/>
    <n v="1"/>
    <n v="149.99"/>
    <x v="2"/>
    <x v="2"/>
    <s v="Basic"/>
    <d v="2021-08-13T00:00:00"/>
    <n v="149.99"/>
    <n v="149.99"/>
    <n v="14.999000000000002"/>
    <n v="0.1"/>
  </r>
  <r>
    <s v="TRX0113"/>
    <x v="41"/>
    <s v="CUST003"/>
    <s v="Michael Brown"/>
    <s v="P002"/>
    <x v="5"/>
    <s v="Electronics"/>
    <n v="2"/>
    <n v="699.99"/>
    <x v="2"/>
    <x v="4"/>
    <s v="Premium"/>
    <d v="2024-04-07T00:00:00"/>
    <n v="1399.98"/>
    <n v="1399.98"/>
    <n v="139.99800000000002"/>
    <n v="0.1"/>
  </r>
  <r>
    <s v="TRX0114"/>
    <x v="41"/>
    <s v="CUST018"/>
    <s v="Barbara Young"/>
    <s v="P010"/>
    <x v="8"/>
    <s v="Electronics"/>
    <n v="5"/>
    <n v="89.99"/>
    <x v="3"/>
    <x v="2"/>
    <s v="Premium"/>
    <d v="2023-08-23T00:00:00"/>
    <n v="449.95"/>
    <n v="449.95"/>
    <n v="44.995000000000005"/>
    <n v="0.1"/>
  </r>
  <r>
    <s v="TRX0136"/>
    <x v="42"/>
    <s v="CUST049"/>
    <s v="Raymond Ross"/>
    <s v="P005"/>
    <x v="1"/>
    <s v="Appliances"/>
    <n v="4"/>
    <n v="59.99"/>
    <x v="0"/>
    <x v="1"/>
    <s v="Standard"/>
    <d v="2021-11-09T00:00:00"/>
    <n v="239.96"/>
    <n v="239.96"/>
    <n v="23.996000000000002"/>
    <n v="0.1"/>
  </r>
  <r>
    <s v="TRX0018"/>
    <x v="43"/>
    <s v="CUST013"/>
    <s v="Joseph Jackson"/>
    <s v="P003"/>
    <x v="3"/>
    <s v="Electronics"/>
    <n v="1"/>
    <n v="149.99"/>
    <x v="0"/>
    <x v="0"/>
    <s v="Standard"/>
    <d v="2022-12-14T00:00:00"/>
    <n v="149.99"/>
    <n v="149.99"/>
    <n v="14.999000000000002"/>
    <n v="0.1"/>
  </r>
  <r>
    <s v="TRX0141"/>
    <x v="43"/>
    <s v="CUST033"/>
    <s v="Frank Torres"/>
    <s v="P007"/>
    <x v="6"/>
    <s v="Furniture"/>
    <n v="1"/>
    <n v="299.99"/>
    <x v="1"/>
    <x v="2"/>
    <s v="Premium"/>
    <d v="2022-11-26T00:00:00"/>
    <n v="299.99"/>
    <n v="299.99"/>
    <n v="29.999000000000002"/>
    <n v="0.1"/>
  </r>
  <r>
    <s v="TRX0097"/>
    <x v="44"/>
    <s v="CUST033"/>
    <s v="Frank Torres"/>
    <s v="P006"/>
    <x v="9"/>
    <s v="Furniture"/>
    <n v="2"/>
    <n v="199.99"/>
    <x v="0"/>
    <x v="2"/>
    <s v="Basic"/>
    <d v="2021-12-11T00:00:00"/>
    <n v="399.98"/>
    <n v="399.98"/>
    <n v="39.998000000000005"/>
    <n v="0.1"/>
  </r>
  <r>
    <s v="TRX0169"/>
    <x v="45"/>
    <s v="CUST047"/>
    <s v="Gerald Murphy"/>
    <s v="P005"/>
    <x v="1"/>
    <s v="Appliances"/>
    <n v="3"/>
    <n v="59.99"/>
    <x v="1"/>
    <x v="3"/>
    <s v="Basic"/>
    <d v="2023-07-23T00:00:00"/>
    <n v="179.97"/>
    <n v="179.97"/>
    <n v="17.997"/>
    <n v="0.1"/>
  </r>
  <r>
    <s v="TRX0216"/>
    <x v="45"/>
    <s v="CUST041"/>
    <s v="Peter Richardson"/>
    <s v="P008"/>
    <x v="2"/>
    <s v="Furniture"/>
    <n v="3"/>
    <n v="149.99"/>
    <x v="0"/>
    <x v="0"/>
    <s v="Premium"/>
    <d v="2023-09-30T00:00:00"/>
    <n v="449.97"/>
    <n v="449.97"/>
    <n v="44.997000000000007"/>
    <n v="0.1"/>
  </r>
  <r>
    <s v="TRX0131"/>
    <x v="46"/>
    <s v="CUST026"/>
    <s v="Karen Hill"/>
    <s v="P006"/>
    <x v="9"/>
    <s v="Furniture"/>
    <n v="3"/>
    <n v="199.99"/>
    <x v="0"/>
    <x v="2"/>
    <s v="Premium"/>
    <d v="2023-11-24T00:00:00"/>
    <n v="599.97"/>
    <n v="599.97"/>
    <n v="59.997000000000007"/>
    <n v="0.1"/>
  </r>
  <r>
    <s v="TRX0162"/>
    <x v="47"/>
    <s v="CUST040"/>
    <s v="Sharon Butler"/>
    <s v="P001"/>
    <x v="4"/>
    <s v="Electronics"/>
    <n v="1"/>
    <n v="899.99"/>
    <x v="0"/>
    <x v="0"/>
    <s v="Standard"/>
    <d v="2023-09-10T00:00:00"/>
    <n v="899.99"/>
    <n v="899.99"/>
    <n v="89.999000000000009"/>
    <n v="0.1"/>
  </r>
  <r>
    <s v="TRX0244"/>
    <x v="48"/>
    <s v="CUST013"/>
    <s v="Joseph Jackson"/>
    <s v="P001"/>
    <x v="4"/>
    <s v="Electronics"/>
    <n v="5"/>
    <n v="899.99"/>
    <x v="3"/>
    <x v="1"/>
    <s v="Standard"/>
    <d v="2022-12-04T00:00:00"/>
    <n v="4499.95"/>
    <n v="4499.95"/>
    <n v="449.995"/>
    <n v="0.1"/>
  </r>
  <r>
    <s v="TRX0006"/>
    <x v="49"/>
    <s v="CUST007"/>
    <s v="David Martinez"/>
    <s v="P005"/>
    <x v="1"/>
    <s v="Appliances"/>
    <n v="2"/>
    <n v="59.99"/>
    <x v="0"/>
    <x v="2"/>
    <s v="Standard"/>
    <d v="2023-08-14T00:00:00"/>
    <n v="119.98"/>
    <n v="119.98"/>
    <n v="11.998000000000001"/>
    <n v="0.1"/>
  </r>
  <r>
    <s v="TRX0215"/>
    <x v="49"/>
    <s v="CUST047"/>
    <s v="Gerald Murphy"/>
    <s v="P009"/>
    <x v="0"/>
    <s v="Electronics"/>
    <n v="4"/>
    <n v="249.99"/>
    <x v="3"/>
    <x v="0"/>
    <s v="Standard"/>
    <d v="2023-07-20T00:00:00"/>
    <n v="999.96"/>
    <n v="999.96"/>
    <n v="99.996000000000009"/>
    <n v="0.1"/>
  </r>
  <r>
    <s v="TRX0080"/>
    <x v="50"/>
    <s v="CUST018"/>
    <s v="Barbara Young"/>
    <s v="P009"/>
    <x v="0"/>
    <s v="Electronics"/>
    <n v="2"/>
    <n v="249.99"/>
    <x v="0"/>
    <x v="2"/>
    <s v="Premium"/>
    <d v="2023-08-26T00:00:00"/>
    <n v="499.98"/>
    <n v="499.98"/>
    <n v="49.998000000000005"/>
    <n v="0.1"/>
  </r>
  <r>
    <s v="TRX0228"/>
    <x v="50"/>
    <s v="CUST019"/>
    <s v="Daniel King"/>
    <s v="P007"/>
    <x v="6"/>
    <s v="Furniture"/>
    <n v="1"/>
    <n v="299.99"/>
    <x v="0"/>
    <x v="1"/>
    <s v="Basic"/>
    <d v="2023-02-25T00:00:00"/>
    <n v="299.99"/>
    <n v="299.99"/>
    <n v="29.999000000000002"/>
    <n v="0.1"/>
  </r>
  <r>
    <s v="TRX0157"/>
    <x v="51"/>
    <s v="CUST025"/>
    <s v="Mark Carter"/>
    <s v="P010"/>
    <x v="8"/>
    <s v="Electronics"/>
    <n v="2"/>
    <n v="89.99"/>
    <x v="2"/>
    <x v="1"/>
    <s v="Basic"/>
    <d v="2023-02-19T00:00:00"/>
    <n v="179.98"/>
    <n v="179.98"/>
    <n v="17.998000000000001"/>
    <n v="0.1"/>
  </r>
  <r>
    <s v="TRX0002"/>
    <x v="51"/>
    <s v="CUST019"/>
    <s v="Daniel King"/>
    <s v="P007"/>
    <x v="6"/>
    <s v="Furniture"/>
    <n v="3"/>
    <n v="299.99"/>
    <x v="0"/>
    <x v="0"/>
    <s v="Basic"/>
    <d v="2022-06-20T00:00:00"/>
    <n v="899.97"/>
    <n v="899.97"/>
    <n v="89.997000000000014"/>
    <n v="0.1"/>
  </r>
  <r>
    <s v="TRX0217"/>
    <x v="52"/>
    <s v="CUST025"/>
    <s v="Mark Carter"/>
    <s v="P002"/>
    <x v="5"/>
    <s v="Electronics"/>
    <n v="2"/>
    <n v="699.99"/>
    <x v="1"/>
    <x v="2"/>
    <s v="Premium"/>
    <d v="2023-03-14T00:00:00"/>
    <n v="1399.98"/>
    <n v="1399.98"/>
    <n v="139.99800000000002"/>
    <n v="0.1"/>
  </r>
  <r>
    <s v="TRX0249"/>
    <x v="53"/>
    <s v="CUST030"/>
    <s v="Helen Roberts"/>
    <s v="P001"/>
    <x v="4"/>
    <s v="Electronics"/>
    <n v="4"/>
    <n v="899.99"/>
    <x v="3"/>
    <x v="1"/>
    <s v="Standard"/>
    <d v="2021-11-23T00:00:00"/>
    <n v="3599.96"/>
    <n v="3599.96"/>
    <n v="359.99600000000004"/>
    <n v="0.1"/>
  </r>
  <r>
    <s v="TRX0065"/>
    <x v="54"/>
    <s v="CUST016"/>
    <s v="Elizabeth Hall"/>
    <s v="P008"/>
    <x v="2"/>
    <s v="Furniture"/>
    <n v="2"/>
    <n v="149.99"/>
    <x v="1"/>
    <x v="3"/>
    <s v="Basic"/>
    <d v="2021-12-12T00:00:00"/>
    <n v="299.98"/>
    <n v="299.98"/>
    <n v="29.998000000000005"/>
    <n v="0.1"/>
  </r>
  <r>
    <s v="TRX0176"/>
    <x v="55"/>
    <s v="CUST044"/>
    <s v="Cynthia Price"/>
    <s v="P008"/>
    <x v="2"/>
    <s v="Furniture"/>
    <n v="2"/>
    <n v="149.99"/>
    <x v="3"/>
    <x v="4"/>
    <s v="Standard"/>
    <d v="2022-04-16T00:00:00"/>
    <n v="299.98"/>
    <n v="299.98"/>
    <n v="29.998000000000005"/>
    <n v="0.1"/>
  </r>
  <r>
    <s v="TRX0101"/>
    <x v="56"/>
    <s v="CUST010"/>
    <s v="Maria Garcia"/>
    <s v="P010"/>
    <x v="8"/>
    <s v="Electronics"/>
    <n v="1"/>
    <n v="89.99"/>
    <x v="1"/>
    <x v="2"/>
    <s v="Standard"/>
    <d v="2024-04-11T00:00:00"/>
    <n v="89.99"/>
    <n v="89.99"/>
    <n v="8.9990000000000006"/>
    <n v="0.1"/>
  </r>
  <r>
    <s v="TRX0205"/>
    <x v="57"/>
    <s v="CUST025"/>
    <s v="Mark Carter"/>
    <s v="P007"/>
    <x v="6"/>
    <s v="Furniture"/>
    <n v="5"/>
    <n v="299.99"/>
    <x v="1"/>
    <x v="2"/>
    <s v="Basic"/>
    <d v="2023-02-08T00:00:00"/>
    <n v="1499.95"/>
    <n v="1499.95"/>
    <n v="149.995"/>
    <n v="0.1"/>
  </r>
  <r>
    <s v="TRX0020"/>
    <x v="58"/>
    <s v="CUST007"/>
    <s v="David Martinez"/>
    <s v="P003"/>
    <x v="3"/>
    <s v="Electronics"/>
    <n v="4"/>
    <n v="149.99"/>
    <x v="3"/>
    <x v="1"/>
    <s v="Premium"/>
    <d v="2022-09-16T00:00:00"/>
    <n v="599.96"/>
    <n v="599.96"/>
    <n v="59.996000000000009"/>
    <n v="0.1"/>
  </r>
  <r>
    <s v="TRX0075"/>
    <x v="58"/>
    <s v="CUST020"/>
    <s v="Margaret Wright"/>
    <s v="P009"/>
    <x v="0"/>
    <s v="Electronics"/>
    <n v="5"/>
    <n v="249.99"/>
    <x v="2"/>
    <x v="4"/>
    <s v="Premium"/>
    <d v="2022-08-09T00:00:00"/>
    <n v="1249.95"/>
    <n v="1249.95"/>
    <n v="124.995"/>
    <n v="0.1"/>
  </r>
  <r>
    <s v="TRX0098"/>
    <x v="58"/>
    <s v="CUST026"/>
    <s v="Karen Hill"/>
    <s v="P009"/>
    <x v="0"/>
    <s v="Electronics"/>
    <n v="3"/>
    <n v="249.99"/>
    <x v="2"/>
    <x v="2"/>
    <s v="Premium"/>
    <d v="2021-09-26T00:00:00"/>
    <n v="749.97"/>
    <n v="749.97"/>
    <n v="74.997"/>
    <n v="0.1"/>
  </r>
  <r>
    <s v="TRX0247"/>
    <x v="58"/>
    <s v="CUST046"/>
    <s v="Kathleen Bennett"/>
    <s v="P006"/>
    <x v="9"/>
    <s v="Furniture"/>
    <n v="4"/>
    <n v="199.99"/>
    <x v="0"/>
    <x v="2"/>
    <s v="Standard"/>
    <d v="2021-09-19T00:00:00"/>
    <n v="799.96"/>
    <n v="799.96"/>
    <n v="79.996000000000009"/>
    <n v="0.1"/>
  </r>
  <r>
    <s v="TRX0027"/>
    <x v="59"/>
    <s v="CUST028"/>
    <s v="Betty Campbell"/>
    <s v="P006"/>
    <x v="9"/>
    <s v="Furniture"/>
    <n v="5"/>
    <n v="199.99"/>
    <x v="0"/>
    <x v="2"/>
    <s v="Premium"/>
    <d v="2023-03-06T00:00:00"/>
    <n v="999.95"/>
    <n v="999.95"/>
    <n v="99.995000000000005"/>
    <n v="0.1"/>
  </r>
  <r>
    <s v="TRX0140"/>
    <x v="60"/>
    <s v="CUST025"/>
    <s v="Mark Carter"/>
    <s v="P010"/>
    <x v="8"/>
    <s v="Electronics"/>
    <n v="2"/>
    <n v="89.99"/>
    <x v="0"/>
    <x v="4"/>
    <s v="Premium"/>
    <d v="2023-02-15T00:00:00"/>
    <n v="179.98"/>
    <n v="179.98"/>
    <n v="17.998000000000001"/>
    <n v="0.1"/>
  </r>
  <r>
    <s v="TRX0132"/>
    <x v="61"/>
    <s v="CUST047"/>
    <s v="Gerald Murphy"/>
    <s v="P001"/>
    <x v="4"/>
    <s v="Electronics"/>
    <n v="5"/>
    <n v="899.99"/>
    <x v="3"/>
    <x v="4"/>
    <s v="Basic"/>
    <d v="2021-11-26T00:00:00"/>
    <n v="4499.95"/>
    <n v="4499.95"/>
    <n v="449.995"/>
    <n v="0.1"/>
  </r>
  <r>
    <s v="TRX0031"/>
    <x v="61"/>
    <s v="CUST036"/>
    <s v="Nancy Collins"/>
    <s v="P003"/>
    <x v="3"/>
    <s v="Electronics"/>
    <n v="3"/>
    <n v="149.99"/>
    <x v="2"/>
    <x v="4"/>
    <s v="Basic"/>
    <d v="2022-01-13T00:00:00"/>
    <n v="449.97"/>
    <n v="449.97"/>
    <n v="44.997000000000007"/>
    <n v="0.1"/>
  </r>
  <r>
    <s v="TRX0236"/>
    <x v="62"/>
    <s v="CUST044"/>
    <s v="Cynthia Price"/>
    <s v="P008"/>
    <x v="2"/>
    <s v="Furniture"/>
    <n v="5"/>
    <n v="149.99"/>
    <x v="1"/>
    <x v="0"/>
    <s v="Basic"/>
    <d v="2024-01-19T00:00:00"/>
    <n v="749.95"/>
    <n v="749.95"/>
    <n v="74.995000000000005"/>
    <n v="0.1"/>
  </r>
  <r>
    <s v="TRX0001"/>
    <x v="63"/>
    <s v="CUST039"/>
    <s v="Lawrence Reed"/>
    <s v="P004"/>
    <x v="7"/>
    <s v="Appliances"/>
    <n v="3"/>
    <n v="79.989999999999995"/>
    <x v="0"/>
    <x v="0"/>
    <s v="Premium"/>
    <d v="2022-08-06T00:00:00"/>
    <n v="239.97"/>
    <n v="239.97"/>
    <n v="23.997"/>
    <n v="0.1"/>
  </r>
  <r>
    <s v="TRX0037"/>
    <x v="63"/>
    <s v="CUST035"/>
    <s v="Harry Morgan"/>
    <s v="P009"/>
    <x v="0"/>
    <s v="Electronics"/>
    <n v="2"/>
    <n v="249.99"/>
    <x v="0"/>
    <x v="1"/>
    <s v="Standard"/>
    <d v="2022-01-11T00:00:00"/>
    <n v="499.98"/>
    <n v="499.98"/>
    <n v="49.998000000000005"/>
    <n v="0.1"/>
  </r>
  <r>
    <s v="TRX0058"/>
    <x v="64"/>
    <s v="CUST047"/>
    <s v="Gerald Murphy"/>
    <s v="P002"/>
    <x v="5"/>
    <s v="Electronics"/>
    <n v="1"/>
    <n v="699.99"/>
    <x v="0"/>
    <x v="0"/>
    <s v="Premium"/>
    <d v="2021-10-28T00:00:00"/>
    <n v="699.99"/>
    <n v="699.99"/>
    <n v="69.999000000000009"/>
    <n v="0.1"/>
  </r>
  <r>
    <s v="TRX0170"/>
    <x v="64"/>
    <s v="CUST034"/>
    <s v="Carol Evans"/>
    <s v="P003"/>
    <x v="3"/>
    <s v="Electronics"/>
    <n v="3"/>
    <n v="149.99"/>
    <x v="0"/>
    <x v="3"/>
    <s v="Premium"/>
    <d v="2023-10-13T00:00:00"/>
    <n v="449.97"/>
    <n v="449.97"/>
    <n v="44.997000000000007"/>
    <n v="0.1"/>
  </r>
  <r>
    <s v="TRX0248"/>
    <x v="65"/>
    <s v="CUST032"/>
    <s v="Sandra Phillips"/>
    <s v="P002"/>
    <x v="5"/>
    <s v="Electronics"/>
    <n v="2"/>
    <n v="699.99"/>
    <x v="1"/>
    <x v="2"/>
    <s v="Premium"/>
    <d v="2021-08-13T00:00:00"/>
    <n v="1399.98"/>
    <n v="1399.98"/>
    <n v="139.99800000000002"/>
    <n v="0.1"/>
  </r>
  <r>
    <s v="TRX0099"/>
    <x v="66"/>
    <s v="CUST034"/>
    <s v="Carol Evans"/>
    <s v="P009"/>
    <x v="0"/>
    <s v="Electronics"/>
    <n v="1"/>
    <n v="249.99"/>
    <x v="1"/>
    <x v="3"/>
    <s v="Premium"/>
    <d v="2022-05-04T00:00:00"/>
    <n v="249.99"/>
    <n v="249.99"/>
    <n v="24.999000000000002"/>
    <n v="0.1"/>
  </r>
  <r>
    <s v="TRX0074"/>
    <x v="66"/>
    <s v="CUST023"/>
    <s v="Paul Baker"/>
    <s v="P009"/>
    <x v="0"/>
    <s v="Electronics"/>
    <n v="1"/>
    <n v="249.99"/>
    <x v="3"/>
    <x v="2"/>
    <s v="Premium"/>
    <d v="2024-02-10T00:00:00"/>
    <n v="249.99"/>
    <n v="249.99"/>
    <n v="24.999000000000002"/>
    <n v="0.1"/>
  </r>
  <r>
    <s v="TRX0225"/>
    <x v="67"/>
    <s v="CUST039"/>
    <s v="Lawrence Reed"/>
    <s v="P002"/>
    <x v="5"/>
    <s v="Electronics"/>
    <n v="2"/>
    <n v="699.99"/>
    <x v="3"/>
    <x v="0"/>
    <s v="Premium"/>
    <d v="2022-11-05T00:00:00"/>
    <n v="1399.98"/>
    <n v="1399.98"/>
    <n v="139.99800000000002"/>
    <n v="0.1"/>
  </r>
  <r>
    <s v="TRX0100"/>
    <x v="68"/>
    <s v="CUST031"/>
    <s v="Steven Turner"/>
    <s v="P005"/>
    <x v="1"/>
    <s v="Appliances"/>
    <n v="3"/>
    <n v="59.99"/>
    <x v="1"/>
    <x v="0"/>
    <s v="Premium"/>
    <d v="2022-06-05T00:00:00"/>
    <n v="179.97"/>
    <n v="179.97"/>
    <n v="17.997"/>
    <n v="0.1"/>
  </r>
  <r>
    <s v="TRX0142"/>
    <x v="69"/>
    <s v="CUST002"/>
    <s v="Emma Wilson"/>
    <s v="P005"/>
    <x v="1"/>
    <s v="Appliances"/>
    <n v="3"/>
    <n v="59.99"/>
    <x v="2"/>
    <x v="4"/>
    <s v="Standard"/>
    <d v="2022-07-06T00:00:00"/>
    <n v="179.97"/>
    <n v="179.97"/>
    <n v="17.997"/>
    <n v="0.1"/>
  </r>
  <r>
    <s v="TRX0112"/>
    <x v="69"/>
    <s v="CUST008"/>
    <s v="Jennifer Taylor"/>
    <s v="P004"/>
    <x v="7"/>
    <s v="Appliances"/>
    <n v="4"/>
    <n v="79.989999999999995"/>
    <x v="0"/>
    <x v="2"/>
    <s v="Basic"/>
    <d v="2021-11-30T00:00:00"/>
    <n v="319.95999999999998"/>
    <n v="319.95999999999998"/>
    <n v="31.995999999999999"/>
    <n v="0.1"/>
  </r>
  <r>
    <s v="TRX0161"/>
    <x v="70"/>
    <s v="CUST017"/>
    <s v="Charles Allen"/>
    <s v="P004"/>
    <x v="7"/>
    <s v="Appliances"/>
    <n v="1"/>
    <n v="79.989999999999995"/>
    <x v="0"/>
    <x v="3"/>
    <s v="Basic"/>
    <d v="2022-05-12T00:00:00"/>
    <n v="79.989999999999995"/>
    <n v="79.989999999999995"/>
    <n v="7.9989999999999997"/>
    <n v="0.1"/>
  </r>
  <r>
    <s v="TRX0108"/>
    <x v="71"/>
    <s v="CUST024"/>
    <s v="Dorothy Nelson"/>
    <s v="P007"/>
    <x v="6"/>
    <s v="Furniture"/>
    <n v="3"/>
    <n v="299.99"/>
    <x v="1"/>
    <x v="0"/>
    <s v="Premium"/>
    <d v="2021-10-25T00:00:00"/>
    <n v="899.97"/>
    <n v="899.97"/>
    <n v="89.997000000000014"/>
    <n v="0.1"/>
  </r>
  <r>
    <s v="TRX0211"/>
    <x v="72"/>
    <s v="CUST046"/>
    <s v="Kathleen Bennett"/>
    <s v="P010"/>
    <x v="8"/>
    <s v="Electronics"/>
    <n v="2"/>
    <n v="89.99"/>
    <x v="1"/>
    <x v="1"/>
    <s v="Premium"/>
    <d v="2022-03-21T00:00:00"/>
    <n v="179.98"/>
    <n v="179.98"/>
    <n v="17.998000000000001"/>
    <n v="0.1"/>
  </r>
  <r>
    <s v="TRX0005"/>
    <x v="73"/>
    <s v="CUST042"/>
    <s v="Ruth Brooks"/>
    <s v="P003"/>
    <x v="3"/>
    <s v="Electronics"/>
    <n v="4"/>
    <n v="149.99"/>
    <x v="0"/>
    <x v="2"/>
    <s v="Basic"/>
    <d v="2022-12-14T00:00:00"/>
    <n v="599.96"/>
    <n v="599.96"/>
    <n v="59.996000000000009"/>
    <n v="0.1"/>
  </r>
  <r>
    <s v="TRX0195"/>
    <x v="74"/>
    <s v="CUST026"/>
    <s v="Karen Hill"/>
    <s v="P009"/>
    <x v="0"/>
    <s v="Electronics"/>
    <n v="2"/>
    <n v="249.99"/>
    <x v="2"/>
    <x v="1"/>
    <s v="Basic"/>
    <d v="2023-03-08T00:00:00"/>
    <n v="499.98"/>
    <n v="499.98"/>
    <n v="49.998000000000005"/>
    <n v="0.1"/>
  </r>
  <r>
    <s v="TRX0054"/>
    <x v="74"/>
    <s v="CUST004"/>
    <s v="Sarah Davis"/>
    <s v="P006"/>
    <x v="9"/>
    <s v="Furniture"/>
    <n v="4"/>
    <n v="199.99"/>
    <x v="3"/>
    <x v="4"/>
    <s v="Basic"/>
    <d v="2021-09-19T00:00:00"/>
    <n v="799.96"/>
    <n v="799.96"/>
    <n v="79.996000000000009"/>
    <n v="0.1"/>
  </r>
  <r>
    <s v="TRX0077"/>
    <x v="75"/>
    <s v="CUST019"/>
    <s v="Daniel King"/>
    <s v="P010"/>
    <x v="8"/>
    <s v="Electronics"/>
    <n v="5"/>
    <n v="89.99"/>
    <x v="1"/>
    <x v="4"/>
    <s v="Premium"/>
    <d v="2021-09-07T00:00:00"/>
    <n v="449.95"/>
    <n v="449.95"/>
    <n v="44.995000000000005"/>
    <n v="0.1"/>
  </r>
  <r>
    <s v="TRX0111"/>
    <x v="75"/>
    <s v="CUST011"/>
    <s v="William White"/>
    <s v="P003"/>
    <x v="3"/>
    <s v="Electronics"/>
    <n v="1"/>
    <n v="149.99"/>
    <x v="2"/>
    <x v="4"/>
    <s v="Standard"/>
    <d v="2021-10-13T00:00:00"/>
    <n v="149.99"/>
    <n v="149.99"/>
    <n v="14.999000000000002"/>
    <n v="0.1"/>
  </r>
  <r>
    <s v="TRX0123"/>
    <x v="75"/>
    <s v="CUST041"/>
    <s v="Peter Richardson"/>
    <s v="P002"/>
    <x v="5"/>
    <s v="Electronics"/>
    <n v="4"/>
    <n v="699.99"/>
    <x v="2"/>
    <x v="1"/>
    <s v="Basic"/>
    <d v="2022-02-26T00:00:00"/>
    <n v="2799.96"/>
    <n v="2799.96"/>
    <n v="279.99600000000004"/>
    <n v="0.1"/>
  </r>
  <r>
    <s v="TRX0177"/>
    <x v="76"/>
    <s v="CUST032"/>
    <s v="Sandra Phillips"/>
    <s v="P001"/>
    <x v="4"/>
    <s v="Electronics"/>
    <n v="3"/>
    <n v="899.99"/>
    <x v="1"/>
    <x v="2"/>
    <s v="Standard"/>
    <d v="2023-08-19T00:00:00"/>
    <n v="2699.97"/>
    <n v="2699.97"/>
    <n v="269.99700000000001"/>
    <n v="0.1"/>
  </r>
  <r>
    <s v="TRX0119"/>
    <x v="77"/>
    <s v="CUST014"/>
    <s v="Linda Martin"/>
    <s v="P008"/>
    <x v="2"/>
    <s v="Furniture"/>
    <n v="3"/>
    <n v="149.99"/>
    <x v="2"/>
    <x v="4"/>
    <s v="Basic"/>
    <d v="2022-11-21T00:00:00"/>
    <n v="449.97"/>
    <n v="449.97"/>
    <n v="44.997000000000007"/>
    <n v="0.1"/>
  </r>
  <r>
    <s v="TRX0181"/>
    <x v="78"/>
    <s v="CUST012"/>
    <s v="Patricia Moore"/>
    <s v="P007"/>
    <x v="6"/>
    <s v="Furniture"/>
    <n v="2"/>
    <n v="299.99"/>
    <x v="3"/>
    <x v="0"/>
    <s v="Basic"/>
    <d v="2022-01-08T00:00:00"/>
    <n v="599.98"/>
    <n v="599.98"/>
    <n v="59.998000000000005"/>
    <n v="0.1"/>
  </r>
  <r>
    <s v="TRX0129"/>
    <x v="79"/>
    <s v="CUST015"/>
    <s v="Richard Lee"/>
    <s v="P006"/>
    <x v="9"/>
    <s v="Furniture"/>
    <n v="1"/>
    <n v="199.99"/>
    <x v="3"/>
    <x v="4"/>
    <s v="Standard"/>
    <d v="2023-01-27T00:00:00"/>
    <n v="199.99"/>
    <n v="199.99"/>
    <n v="19.999000000000002"/>
    <n v="0.1"/>
  </r>
  <r>
    <s v="TRX0174"/>
    <x v="80"/>
    <s v="CUST003"/>
    <s v="Michael Brown"/>
    <s v="P007"/>
    <x v="6"/>
    <s v="Furniture"/>
    <n v="4"/>
    <n v="299.99"/>
    <x v="0"/>
    <x v="0"/>
    <s v="Premium"/>
    <d v="2021-09-21T00:00:00"/>
    <n v="1199.96"/>
    <n v="1199.96"/>
    <n v="119.99600000000001"/>
    <n v="0.1"/>
  </r>
  <r>
    <s v="TRX0146"/>
    <x v="81"/>
    <s v="CUST010"/>
    <s v="Maria Garcia"/>
    <s v="P005"/>
    <x v="1"/>
    <s v="Appliances"/>
    <n v="2"/>
    <n v="59.99"/>
    <x v="1"/>
    <x v="0"/>
    <s v="Basic"/>
    <d v="2022-01-18T00:00:00"/>
    <n v="119.98"/>
    <n v="119.98"/>
    <n v="11.998000000000001"/>
    <n v="0.1"/>
  </r>
  <r>
    <s v="TRX0203"/>
    <x v="81"/>
    <s v="CUST032"/>
    <s v="Sandra Phillips"/>
    <s v="P003"/>
    <x v="3"/>
    <s v="Electronics"/>
    <n v="4"/>
    <n v="149.99"/>
    <x v="1"/>
    <x v="2"/>
    <s v="Premium"/>
    <d v="2023-05-30T00:00:00"/>
    <n v="599.96"/>
    <n v="599.96"/>
    <n v="59.996000000000009"/>
    <n v="0.1"/>
  </r>
  <r>
    <s v="TRX0055"/>
    <x v="82"/>
    <s v="CUST016"/>
    <s v="Elizabeth Hall"/>
    <s v="P002"/>
    <x v="5"/>
    <s v="Electronics"/>
    <n v="2"/>
    <n v="699.99"/>
    <x v="3"/>
    <x v="4"/>
    <s v="Premium"/>
    <d v="2023-12-14T00:00:00"/>
    <n v="1399.98"/>
    <n v="1399.98"/>
    <n v="139.99800000000002"/>
    <n v="0.1"/>
  </r>
  <r>
    <s v="TRX0218"/>
    <x v="82"/>
    <s v="CUST034"/>
    <s v="Carol Evans"/>
    <s v="P008"/>
    <x v="2"/>
    <s v="Furniture"/>
    <n v="3"/>
    <n v="149.99"/>
    <x v="1"/>
    <x v="1"/>
    <s v="Standard"/>
    <d v="2023-01-14T00:00:00"/>
    <n v="449.97"/>
    <n v="449.97"/>
    <n v="44.997000000000007"/>
    <n v="0.1"/>
  </r>
  <r>
    <s v="TRX0085"/>
    <x v="83"/>
    <s v="CUST019"/>
    <s v="Daniel King"/>
    <s v="P007"/>
    <x v="6"/>
    <s v="Furniture"/>
    <n v="3"/>
    <n v="299.99"/>
    <x v="1"/>
    <x v="0"/>
    <s v="Standard"/>
    <d v="2023-09-05T00:00:00"/>
    <n v="899.97"/>
    <n v="899.97"/>
    <n v="89.997000000000014"/>
    <n v="0.1"/>
  </r>
  <r>
    <s v="TRX0158"/>
    <x v="84"/>
    <s v="CUST027"/>
    <s v="George Adams"/>
    <s v="P001"/>
    <x v="4"/>
    <s v="Electronics"/>
    <n v="3"/>
    <n v="899.99"/>
    <x v="2"/>
    <x v="3"/>
    <s v="Basic"/>
    <d v="2023-10-16T00:00:00"/>
    <n v="2699.97"/>
    <n v="2699.97"/>
    <n v="269.99700000000001"/>
    <n v="0.1"/>
  </r>
  <r>
    <s v="TRX0173"/>
    <x v="85"/>
    <s v="CUST018"/>
    <s v="Barbara Young"/>
    <s v="P002"/>
    <x v="5"/>
    <s v="Electronics"/>
    <n v="5"/>
    <n v="699.99"/>
    <x v="0"/>
    <x v="4"/>
    <s v="Standard"/>
    <d v="2023-03-23T00:00:00"/>
    <n v="3499.95"/>
    <n v="3499.95"/>
    <n v="349.995"/>
    <n v="0.1"/>
  </r>
  <r>
    <s v="TRX0034"/>
    <x v="85"/>
    <s v="CUST049"/>
    <s v="Raymond Ross"/>
    <s v="P002"/>
    <x v="5"/>
    <s v="Electronics"/>
    <n v="4"/>
    <n v="699.99"/>
    <x v="1"/>
    <x v="0"/>
    <s v="Basic"/>
    <d v="2024-04-03T00:00:00"/>
    <n v="2799.96"/>
    <n v="2799.96"/>
    <n v="279.99600000000004"/>
    <n v="0.1"/>
  </r>
  <r>
    <s v="TRX0189"/>
    <x v="85"/>
    <s v="CUST040"/>
    <s v="Sharon Butler"/>
    <s v="P001"/>
    <x v="4"/>
    <s v="Electronics"/>
    <n v="1"/>
    <n v="899.99"/>
    <x v="1"/>
    <x v="4"/>
    <s v="Standard"/>
    <d v="2024-03-18T00:00:00"/>
    <n v="899.99"/>
    <n v="899.99"/>
    <n v="89.999000000000009"/>
    <n v="0.1"/>
  </r>
  <r>
    <s v="TRX0190"/>
    <x v="86"/>
    <s v="CUST039"/>
    <s v="Lawrence Reed"/>
    <s v="P003"/>
    <x v="3"/>
    <s v="Electronics"/>
    <n v="2"/>
    <n v="149.99"/>
    <x v="1"/>
    <x v="3"/>
    <s v="Basic"/>
    <d v="2022-12-21T00:00:00"/>
    <n v="299.98"/>
    <n v="299.98"/>
    <n v="29.998000000000005"/>
    <n v="0.1"/>
  </r>
  <r>
    <s v="TRX0079"/>
    <x v="87"/>
    <s v="CUST039"/>
    <s v="Lawrence Reed"/>
    <s v="P010"/>
    <x v="8"/>
    <s v="Electronics"/>
    <n v="3"/>
    <n v="89.99"/>
    <x v="2"/>
    <x v="0"/>
    <s v="Basic"/>
    <d v="2021-12-21T00:00:00"/>
    <n v="269.97000000000003"/>
    <n v="269.97000000000003"/>
    <n v="26.997000000000003"/>
    <n v="0.1"/>
  </r>
  <r>
    <s v="TRX0095"/>
    <x v="88"/>
    <s v="CUST046"/>
    <s v="Kathleen Bennett"/>
    <s v="P003"/>
    <x v="3"/>
    <s v="Electronics"/>
    <n v="2"/>
    <n v="149.99"/>
    <x v="2"/>
    <x v="0"/>
    <s v="Basic"/>
    <d v="2021-10-04T00:00:00"/>
    <n v="299.98"/>
    <n v="299.98"/>
    <n v="29.998000000000005"/>
    <n v="0.1"/>
  </r>
  <r>
    <s v="TRX0009"/>
    <x v="88"/>
    <s v="CUST004"/>
    <s v="Sarah Davis"/>
    <s v="P002"/>
    <x v="5"/>
    <s v="Electronics"/>
    <n v="2"/>
    <n v="699.99"/>
    <x v="0"/>
    <x v="0"/>
    <s v="Basic"/>
    <d v="2023-03-07T00:00:00"/>
    <n v="1399.98"/>
    <n v="1399.98"/>
    <n v="139.99800000000002"/>
    <n v="0.1"/>
  </r>
  <r>
    <s v="TRX0167"/>
    <x v="89"/>
    <s v="CUST028"/>
    <s v="Betty Campbell"/>
    <s v="P002"/>
    <x v="5"/>
    <s v="Electronics"/>
    <n v="5"/>
    <n v="699.99"/>
    <x v="0"/>
    <x v="2"/>
    <s v="Premium"/>
    <d v="2022-03-15T00:00:00"/>
    <n v="3499.95"/>
    <n v="3499.95"/>
    <n v="349.995"/>
    <n v="0.1"/>
  </r>
  <r>
    <s v="TRX0153"/>
    <x v="90"/>
    <s v="CUST049"/>
    <s v="Raymond Ross"/>
    <s v="P010"/>
    <x v="8"/>
    <s v="Electronics"/>
    <n v="3"/>
    <n v="89.99"/>
    <x v="1"/>
    <x v="2"/>
    <s v="Standard"/>
    <d v="2022-02-23T00:00:00"/>
    <n v="269.97000000000003"/>
    <n v="269.97000000000003"/>
    <n v="26.997000000000003"/>
    <n v="0.1"/>
  </r>
  <r>
    <s v="TRX0057"/>
    <x v="91"/>
    <s v="CUST023"/>
    <s v="Paul Baker"/>
    <s v="P009"/>
    <x v="0"/>
    <s v="Electronics"/>
    <n v="5"/>
    <n v="249.99"/>
    <x v="1"/>
    <x v="1"/>
    <s v="Standard"/>
    <d v="2022-11-16T00:00:00"/>
    <n v="1249.95"/>
    <n v="1249.95"/>
    <n v="124.995"/>
    <n v="0.1"/>
  </r>
  <r>
    <s v="TRX0017"/>
    <x v="92"/>
    <s v="CUST026"/>
    <s v="Karen Hill"/>
    <s v="P007"/>
    <x v="6"/>
    <s v="Furniture"/>
    <n v="3"/>
    <n v="299.99"/>
    <x v="1"/>
    <x v="1"/>
    <s v="Standard"/>
    <d v="2021-11-02T00:00:00"/>
    <n v="899.97"/>
    <n v="899.97"/>
    <n v="89.997000000000014"/>
    <n v="0.1"/>
  </r>
  <r>
    <s v="TRX0060"/>
    <x v="93"/>
    <s v="CUST012"/>
    <s v="Patricia Moore"/>
    <s v="P010"/>
    <x v="8"/>
    <s v="Electronics"/>
    <n v="3"/>
    <n v="89.99"/>
    <x v="1"/>
    <x v="2"/>
    <s v="Premium"/>
    <d v="2021-08-12T00:00:00"/>
    <n v="269.97000000000003"/>
    <n v="269.97000000000003"/>
    <n v="26.997000000000003"/>
    <n v="0.1"/>
  </r>
  <r>
    <s v="TRX0109"/>
    <x v="94"/>
    <s v="CUST010"/>
    <s v="Maria Garcia"/>
    <s v="P008"/>
    <x v="2"/>
    <s v="Furniture"/>
    <n v="2"/>
    <n v="149.99"/>
    <x v="1"/>
    <x v="3"/>
    <s v="Premium"/>
    <d v="2022-10-14T00:00:00"/>
    <n v="299.98"/>
    <n v="299.98"/>
    <n v="29.998000000000005"/>
    <n v="0.1"/>
  </r>
  <r>
    <s v="TRX0090"/>
    <x v="95"/>
    <s v="CUST020"/>
    <s v="Margaret Wright"/>
    <s v="P009"/>
    <x v="0"/>
    <s v="Electronics"/>
    <n v="1"/>
    <n v="249.99"/>
    <x v="1"/>
    <x v="2"/>
    <s v="Premium"/>
    <d v="2022-09-24T00:00:00"/>
    <n v="249.99"/>
    <n v="249.99"/>
    <n v="24.999000000000002"/>
    <n v="0.1"/>
  </r>
  <r>
    <s v="TRX0035"/>
    <x v="96"/>
    <s v="CUST041"/>
    <s v="Peter Richardson"/>
    <s v="P003"/>
    <x v="3"/>
    <s v="Electronics"/>
    <n v="3"/>
    <n v="149.99"/>
    <x v="0"/>
    <x v="2"/>
    <s v="Basic"/>
    <d v="2022-07-27T00:00:00"/>
    <n v="449.97"/>
    <n v="449.97"/>
    <n v="44.997000000000007"/>
    <n v="0.1"/>
  </r>
  <r>
    <s v="TRX0172"/>
    <x v="96"/>
    <s v="CUST023"/>
    <s v="Paul Baker"/>
    <s v="P005"/>
    <x v="1"/>
    <s v="Appliances"/>
    <n v="5"/>
    <n v="59.99"/>
    <x v="2"/>
    <x v="3"/>
    <s v="Premium"/>
    <d v="2022-05-13T00:00:00"/>
    <n v="299.95"/>
    <n v="299.95"/>
    <n v="29.995000000000001"/>
    <n v="0.1"/>
  </r>
  <r>
    <s v="TRX0076"/>
    <x v="96"/>
    <s v="CUST012"/>
    <s v="Patricia Moore"/>
    <s v="P009"/>
    <x v="0"/>
    <s v="Electronics"/>
    <n v="4"/>
    <n v="249.99"/>
    <x v="1"/>
    <x v="3"/>
    <s v="Standard"/>
    <d v="2022-04-08T00:00:00"/>
    <n v="999.96"/>
    <n v="999.96"/>
    <n v="99.996000000000009"/>
    <n v="0.1"/>
  </r>
  <r>
    <s v="TRX0210"/>
    <x v="97"/>
    <s v="CUST004"/>
    <s v="Sarah Davis"/>
    <s v="P008"/>
    <x v="2"/>
    <s v="Furniture"/>
    <n v="5"/>
    <n v="149.99"/>
    <x v="2"/>
    <x v="0"/>
    <s v="Basic"/>
    <d v="2022-12-06T00:00:00"/>
    <n v="749.95"/>
    <n v="749.95"/>
    <n v="74.995000000000005"/>
    <n v="0.1"/>
  </r>
  <r>
    <s v="TRX0149"/>
    <x v="97"/>
    <s v="CUST027"/>
    <s v="George Adams"/>
    <s v="P005"/>
    <x v="1"/>
    <s v="Appliances"/>
    <n v="3"/>
    <n v="59.99"/>
    <x v="3"/>
    <x v="1"/>
    <s v="Standard"/>
    <d v="2023-11-30T00:00:00"/>
    <n v="179.97"/>
    <n v="179.97"/>
    <n v="17.997"/>
    <n v="0.1"/>
  </r>
  <r>
    <s v="TRX0073"/>
    <x v="98"/>
    <s v="CUST032"/>
    <s v="Sandra Phillips"/>
    <s v="P008"/>
    <x v="2"/>
    <s v="Furniture"/>
    <n v="5"/>
    <n v="149.99"/>
    <x v="0"/>
    <x v="2"/>
    <s v="Basic"/>
    <d v="2022-11-04T00:00:00"/>
    <n v="749.95"/>
    <n v="749.95"/>
    <n v="74.995000000000005"/>
    <n v="0.1"/>
  </r>
  <r>
    <s v="TRX0033"/>
    <x v="98"/>
    <s v="CUST025"/>
    <s v="Mark Carter"/>
    <s v="P002"/>
    <x v="5"/>
    <s v="Electronics"/>
    <n v="2"/>
    <n v="699.99"/>
    <x v="2"/>
    <x v="3"/>
    <s v="Standard"/>
    <d v="2022-07-28T00:00:00"/>
    <n v="1399.98"/>
    <n v="1399.98"/>
    <n v="139.99800000000002"/>
    <n v="0.1"/>
  </r>
  <r>
    <s v="TRX0160"/>
    <x v="99"/>
    <s v="CUST029"/>
    <s v="Edward Mitchell"/>
    <s v="P006"/>
    <x v="9"/>
    <s v="Furniture"/>
    <n v="4"/>
    <n v="199.99"/>
    <x v="3"/>
    <x v="0"/>
    <s v="Premium"/>
    <d v="2021-08-19T00:00:00"/>
    <n v="799.96"/>
    <n v="799.96"/>
    <n v="79.996000000000009"/>
    <n v="0.1"/>
  </r>
  <r>
    <s v="TRX0145"/>
    <x v="100"/>
    <s v="CUST033"/>
    <s v="Frank Torres"/>
    <s v="P005"/>
    <x v="1"/>
    <s v="Appliances"/>
    <n v="1"/>
    <n v="59.99"/>
    <x v="3"/>
    <x v="3"/>
    <s v="Standard"/>
    <d v="2021-12-30T00:00:00"/>
    <n v="59.99"/>
    <n v="59.99"/>
    <n v="5.9990000000000006"/>
    <n v="0.1"/>
  </r>
  <r>
    <s v="TRX0148"/>
    <x v="100"/>
    <s v="CUST004"/>
    <s v="Sarah Davis"/>
    <s v="P002"/>
    <x v="5"/>
    <s v="Electronics"/>
    <n v="3"/>
    <n v="699.99"/>
    <x v="2"/>
    <x v="3"/>
    <s v="Standard"/>
    <d v="2022-01-22T00:00:00"/>
    <n v="2099.9699999999998"/>
    <n v="2099.9699999999998"/>
    <n v="209.99699999999999"/>
    <n v="0.1"/>
  </r>
  <r>
    <s v="TRX0012"/>
    <x v="101"/>
    <s v="CUST045"/>
    <s v="Douglas Watson"/>
    <s v="P009"/>
    <x v="0"/>
    <s v="Electronics"/>
    <n v="5"/>
    <n v="249.99"/>
    <x v="1"/>
    <x v="2"/>
    <s v="Basic"/>
    <d v="2022-11-08T00:00:00"/>
    <n v="1249.95"/>
    <n v="1249.95"/>
    <n v="124.995"/>
    <n v="0.1"/>
  </r>
  <r>
    <s v="TRX0206"/>
    <x v="102"/>
    <s v="CUST014"/>
    <s v="Linda Martin"/>
    <s v="P008"/>
    <x v="2"/>
    <s v="Furniture"/>
    <n v="2"/>
    <n v="149.99"/>
    <x v="0"/>
    <x v="1"/>
    <s v="Standard"/>
    <d v="2023-06-24T00:00:00"/>
    <n v="299.98"/>
    <n v="299.98"/>
    <n v="29.998000000000005"/>
    <n v="0.1"/>
  </r>
  <r>
    <s v="TRX0045"/>
    <x v="103"/>
    <s v="CUST021"/>
    <s v="Kevin Scott"/>
    <s v="P007"/>
    <x v="6"/>
    <s v="Furniture"/>
    <n v="3"/>
    <n v="299.99"/>
    <x v="0"/>
    <x v="1"/>
    <s v="Premium"/>
    <d v="2022-04-08T00:00:00"/>
    <n v="899.97"/>
    <n v="899.97"/>
    <n v="89.997000000000014"/>
    <n v="0.1"/>
  </r>
  <r>
    <s v="TRX0094"/>
    <x v="103"/>
    <s v="CUST017"/>
    <s v="Charles Allen"/>
    <s v="P009"/>
    <x v="0"/>
    <s v="Electronics"/>
    <n v="5"/>
    <n v="249.99"/>
    <x v="0"/>
    <x v="0"/>
    <s v="Premium"/>
    <d v="2021-10-16T00:00:00"/>
    <n v="1249.95"/>
    <n v="1249.95"/>
    <n v="124.995"/>
    <n v="0.1"/>
  </r>
  <r>
    <s v="TRX0133"/>
    <x v="103"/>
    <s v="CUST013"/>
    <s v="Joseph Jackson"/>
    <s v="P003"/>
    <x v="3"/>
    <s v="Electronics"/>
    <n v="2"/>
    <n v="149.99"/>
    <x v="0"/>
    <x v="1"/>
    <s v="Premium"/>
    <d v="2021-10-06T00:00:00"/>
    <n v="299.98"/>
    <n v="299.98"/>
    <n v="29.998000000000005"/>
    <n v="0.1"/>
  </r>
  <r>
    <s v="TRX0201"/>
    <x v="103"/>
    <s v="CUST025"/>
    <s v="Mark Carter"/>
    <s v="P002"/>
    <x v="5"/>
    <s v="Electronics"/>
    <n v="5"/>
    <n v="699.99"/>
    <x v="3"/>
    <x v="3"/>
    <s v="Standard"/>
    <d v="2023-01-18T00:00:00"/>
    <n v="3499.95"/>
    <n v="3499.95"/>
    <n v="349.995"/>
    <n v="0.1"/>
  </r>
  <r>
    <s v="TRX0137"/>
    <x v="104"/>
    <s v="CUST011"/>
    <s v="William White"/>
    <s v="P009"/>
    <x v="0"/>
    <s v="Electronics"/>
    <n v="4"/>
    <n v="249.99"/>
    <x v="2"/>
    <x v="4"/>
    <s v="Premium"/>
    <d v="2023-06-21T00:00:00"/>
    <n v="999.96"/>
    <n v="999.96"/>
    <n v="99.996000000000009"/>
    <n v="0.1"/>
  </r>
  <r>
    <s v="TRX0066"/>
    <x v="105"/>
    <s v="CUST024"/>
    <s v="Dorothy Nelson"/>
    <s v="P002"/>
    <x v="5"/>
    <s v="Electronics"/>
    <n v="4"/>
    <n v="699.99"/>
    <x v="1"/>
    <x v="2"/>
    <s v="Premium"/>
    <d v="2022-05-22T00:00:00"/>
    <n v="2799.96"/>
    <n v="2799.96"/>
    <n v="279.99600000000004"/>
    <n v="0.1"/>
  </r>
  <r>
    <s v="TRX0180"/>
    <x v="106"/>
    <s v="CUST036"/>
    <s v="Nancy Collins"/>
    <s v="P009"/>
    <x v="0"/>
    <s v="Electronics"/>
    <n v="2"/>
    <n v="249.99"/>
    <x v="1"/>
    <x v="0"/>
    <s v="Premium"/>
    <d v="2021-07-19T00:00:00"/>
    <n v="499.98"/>
    <n v="499.98"/>
    <n v="49.998000000000005"/>
    <n v="0.1"/>
  </r>
  <r>
    <s v="TRX0082"/>
    <x v="106"/>
    <s v="CUST005"/>
    <s v="James Johnson"/>
    <s v="P005"/>
    <x v="1"/>
    <s v="Appliances"/>
    <n v="3"/>
    <n v="59.99"/>
    <x v="0"/>
    <x v="0"/>
    <s v="Premium"/>
    <d v="2023-05-06T00:00:00"/>
    <n v="179.97"/>
    <n v="179.97"/>
    <n v="17.997"/>
    <n v="0.1"/>
  </r>
  <r>
    <s v="TRX0036"/>
    <x v="106"/>
    <s v="CUST008"/>
    <s v="Jennifer Taylor"/>
    <s v="P004"/>
    <x v="7"/>
    <s v="Appliances"/>
    <n v="4"/>
    <n v="79.989999999999995"/>
    <x v="3"/>
    <x v="4"/>
    <s v="Standard"/>
    <d v="2022-12-26T00:00:00"/>
    <n v="319.95999999999998"/>
    <n v="319.95999999999998"/>
    <n v="31.995999999999999"/>
    <n v="0.1"/>
  </r>
  <r>
    <s v="TRX0198"/>
    <x v="107"/>
    <s v="CUST030"/>
    <s v="Helen Roberts"/>
    <s v="P004"/>
    <x v="7"/>
    <s v="Appliances"/>
    <n v="3"/>
    <n v="79.989999999999995"/>
    <x v="3"/>
    <x v="4"/>
    <s v="Standard"/>
    <d v="2022-08-06T00:00:00"/>
    <n v="239.97"/>
    <n v="239.97"/>
    <n v="23.997"/>
    <n v="0.1"/>
  </r>
  <r>
    <s v="TRX0032"/>
    <x v="108"/>
    <s v="CUST041"/>
    <s v="Peter Richardson"/>
    <s v="P001"/>
    <x v="4"/>
    <s v="Electronics"/>
    <n v="2"/>
    <n v="899.99"/>
    <x v="0"/>
    <x v="2"/>
    <s v="Basic"/>
    <d v="2021-07-29T00:00:00"/>
    <n v="1799.98"/>
    <n v="1799.98"/>
    <n v="179.99800000000002"/>
    <n v="0.1"/>
  </r>
  <r>
    <s v="TRX0081"/>
    <x v="109"/>
    <s v="CUST007"/>
    <s v="David Martinez"/>
    <s v="P008"/>
    <x v="2"/>
    <s v="Furniture"/>
    <n v="1"/>
    <n v="149.99"/>
    <x v="3"/>
    <x v="4"/>
    <s v="Standard"/>
    <d v="2023-10-01T00:00:00"/>
    <n v="149.99"/>
    <n v="149.99"/>
    <n v="14.999000000000002"/>
    <n v="0.1"/>
  </r>
  <r>
    <s v="TRX0224"/>
    <x v="109"/>
    <s v="CUST031"/>
    <s v="Steven Turner"/>
    <s v="P007"/>
    <x v="6"/>
    <s v="Furniture"/>
    <n v="2"/>
    <n v="299.99"/>
    <x v="0"/>
    <x v="4"/>
    <s v="Premium"/>
    <d v="2022-06-12T00:00:00"/>
    <n v="599.98"/>
    <n v="599.98"/>
    <n v="59.998000000000005"/>
    <n v="0.1"/>
  </r>
  <r>
    <s v="TRX0028"/>
    <x v="110"/>
    <s v="CUST002"/>
    <s v="Emma Wilson"/>
    <s v="P005"/>
    <x v="1"/>
    <s v="Appliances"/>
    <n v="2"/>
    <n v="59.99"/>
    <x v="0"/>
    <x v="3"/>
    <s v="Basic"/>
    <d v="2023-09-22T00:00:00"/>
    <n v="119.98"/>
    <n v="119.98"/>
    <n v="11.998000000000001"/>
    <n v="0.1"/>
  </r>
  <r>
    <s v="TRX0183"/>
    <x v="111"/>
    <s v="CUST007"/>
    <s v="David Martinez"/>
    <s v="P010"/>
    <x v="8"/>
    <s v="Electronics"/>
    <n v="1"/>
    <n v="89.99"/>
    <x v="3"/>
    <x v="0"/>
    <s v="Standard"/>
    <d v="2022-07-18T00:00:00"/>
    <n v="89.99"/>
    <n v="89.99"/>
    <n v="8.9990000000000006"/>
    <n v="0.1"/>
  </r>
  <r>
    <s v="TRX0163"/>
    <x v="111"/>
    <s v="CUST019"/>
    <s v="Daniel King"/>
    <s v="P001"/>
    <x v="4"/>
    <s v="Electronics"/>
    <n v="5"/>
    <n v="899.99"/>
    <x v="3"/>
    <x v="4"/>
    <s v="Standard"/>
    <d v="2022-03-05T00:00:00"/>
    <n v="4499.95"/>
    <n v="4499.95"/>
    <n v="449.995"/>
    <n v="0.1"/>
  </r>
  <r>
    <s v="TRX0046"/>
    <x v="112"/>
    <s v="CUST003"/>
    <s v="Michael Brown"/>
    <s v="P008"/>
    <x v="2"/>
    <s v="Furniture"/>
    <n v="2"/>
    <n v="149.99"/>
    <x v="0"/>
    <x v="1"/>
    <s v="Basic"/>
    <d v="2023-11-09T00:00:00"/>
    <n v="299.98"/>
    <n v="299.98"/>
    <n v="29.998000000000005"/>
    <n v="0.1"/>
  </r>
  <r>
    <s v="TRX0164"/>
    <x v="113"/>
    <s v="CUST014"/>
    <s v="Linda Martin"/>
    <s v="P003"/>
    <x v="3"/>
    <s v="Electronics"/>
    <n v="2"/>
    <n v="149.99"/>
    <x v="3"/>
    <x v="3"/>
    <s v="Premium"/>
    <d v="2023-12-20T00:00:00"/>
    <n v="299.98"/>
    <n v="299.98"/>
    <n v="29.998000000000005"/>
    <n v="0.1"/>
  </r>
  <r>
    <s v="TRX0008"/>
    <x v="113"/>
    <s v="CUST007"/>
    <s v="David Martinez"/>
    <s v="P008"/>
    <x v="2"/>
    <s v="Furniture"/>
    <n v="3"/>
    <n v="149.99"/>
    <x v="3"/>
    <x v="2"/>
    <s v="Standard"/>
    <d v="2021-11-22T00:00:00"/>
    <n v="449.97"/>
    <n v="449.97"/>
    <n v="44.997000000000007"/>
    <n v="0.1"/>
  </r>
  <r>
    <s v="TRX0171"/>
    <x v="114"/>
    <s v="CUST021"/>
    <s v="Kevin Scott"/>
    <s v="P007"/>
    <x v="6"/>
    <s v="Furniture"/>
    <n v="2"/>
    <n v="299.99"/>
    <x v="2"/>
    <x v="1"/>
    <s v="Basic"/>
    <d v="2022-06-09T00:00:00"/>
    <n v="599.98"/>
    <n v="599.98"/>
    <n v="59.998000000000005"/>
    <n v="0.1"/>
  </r>
  <r>
    <s v="TRX0143"/>
    <x v="115"/>
    <s v="CUST003"/>
    <s v="Michael Brown"/>
    <s v="P007"/>
    <x v="6"/>
    <s v="Furniture"/>
    <n v="2"/>
    <n v="299.99"/>
    <x v="0"/>
    <x v="3"/>
    <s v="Basic"/>
    <d v="2022-07-29T00:00:00"/>
    <n v="599.98"/>
    <n v="599.98"/>
    <n v="59.998000000000005"/>
    <n v="0.1"/>
  </r>
  <r>
    <s v="TRX0165"/>
    <x v="115"/>
    <s v="CUST030"/>
    <s v="Helen Roberts"/>
    <s v="P006"/>
    <x v="9"/>
    <s v="Furniture"/>
    <n v="4"/>
    <n v="199.99"/>
    <x v="1"/>
    <x v="0"/>
    <s v="Basic"/>
    <d v="2021-11-23T00:00:00"/>
    <n v="799.96"/>
    <n v="799.96"/>
    <n v="79.996000000000009"/>
    <n v="0.1"/>
  </r>
  <r>
    <s v="TRX0156"/>
    <x v="116"/>
    <s v="CUST009"/>
    <s v="Robert Thomas"/>
    <s v="P010"/>
    <x v="8"/>
    <s v="Electronics"/>
    <n v="1"/>
    <n v="89.99"/>
    <x v="1"/>
    <x v="1"/>
    <s v="Premium"/>
    <d v="2022-01-30T00:00:00"/>
    <n v="89.99"/>
    <n v="89.99"/>
    <n v="8.9990000000000006"/>
    <n v="0.1"/>
  </r>
  <r>
    <s v="TRX0147"/>
    <x v="116"/>
    <s v="CUST036"/>
    <s v="Nancy Collins"/>
    <s v="P008"/>
    <x v="2"/>
    <s v="Furniture"/>
    <n v="5"/>
    <n v="149.99"/>
    <x v="0"/>
    <x v="0"/>
    <s v="Premium"/>
    <d v="2024-02-25T00:00:00"/>
    <n v="749.95"/>
    <n v="749.95"/>
    <n v="74.995000000000005"/>
    <n v="0.1"/>
  </r>
  <r>
    <s v="TRX0207"/>
    <x v="117"/>
    <s v="CUST025"/>
    <s v="Mark Carter"/>
    <s v="P001"/>
    <x v="4"/>
    <s v="Electronics"/>
    <n v="1"/>
    <n v="899.99"/>
    <x v="2"/>
    <x v="2"/>
    <s v="Premium"/>
    <d v="2023-05-04T00:00:00"/>
    <n v="899.99"/>
    <n v="899.99"/>
    <n v="89.999000000000009"/>
    <n v="0.1"/>
  </r>
  <r>
    <s v="TRX0056"/>
    <x v="118"/>
    <s v="CUST019"/>
    <s v="Daniel King"/>
    <s v="P010"/>
    <x v="8"/>
    <s v="Electronics"/>
    <n v="2"/>
    <n v="89.99"/>
    <x v="1"/>
    <x v="1"/>
    <s v="Premium"/>
    <d v="2022-01-03T00:00:00"/>
    <n v="179.98"/>
    <n v="179.98"/>
    <n v="17.998000000000001"/>
    <n v="0.1"/>
  </r>
  <r>
    <s v="TRX0026"/>
    <x v="119"/>
    <s v="CUST037"/>
    <s v="Arthur Edwards"/>
    <s v="P001"/>
    <x v="4"/>
    <s v="Electronics"/>
    <n v="1"/>
    <n v="899.99"/>
    <x v="2"/>
    <x v="2"/>
    <s v="Standard"/>
    <d v="2022-07-10T00:00:00"/>
    <n v="899.99"/>
    <n v="899.99"/>
    <n v="89.999000000000009"/>
    <n v="0.1"/>
  </r>
  <r>
    <s v="TRX0237"/>
    <x v="120"/>
    <s v="CUST006"/>
    <s v="Lisa Anderson"/>
    <s v="P003"/>
    <x v="3"/>
    <s v="Electronics"/>
    <n v="5"/>
    <n v="149.99"/>
    <x v="2"/>
    <x v="4"/>
    <s v="Premium"/>
    <d v="2022-09-20T00:00:00"/>
    <n v="749.95"/>
    <n v="749.95"/>
    <n v="74.995000000000005"/>
    <n v="0.1"/>
  </r>
  <r>
    <s v="TRX0091"/>
    <x v="120"/>
    <s v="CUST003"/>
    <s v="Michael Brown"/>
    <s v="P007"/>
    <x v="6"/>
    <s v="Furniture"/>
    <n v="3"/>
    <n v="299.99"/>
    <x v="0"/>
    <x v="1"/>
    <s v="Standard"/>
    <d v="2021-08-14T00:00:00"/>
    <n v="899.97"/>
    <n v="899.97"/>
    <n v="89.997000000000014"/>
    <n v="0.1"/>
  </r>
  <r>
    <s v="TRX0125"/>
    <x v="121"/>
    <s v="CUST026"/>
    <s v="Karen Hill"/>
    <s v="P002"/>
    <x v="5"/>
    <s v="Electronics"/>
    <n v="3"/>
    <n v="699.99"/>
    <x v="1"/>
    <x v="0"/>
    <s v="Premium"/>
    <d v="2023-06-28T00:00:00"/>
    <n v="2099.9699999999998"/>
    <n v="2099.9699999999998"/>
    <n v="209.99699999999999"/>
    <n v="0.1"/>
  </r>
  <r>
    <s v="TRX0223"/>
    <x v="122"/>
    <s v="CUST036"/>
    <s v="Nancy Collins"/>
    <s v="P006"/>
    <x v="9"/>
    <s v="Furniture"/>
    <n v="5"/>
    <n v="199.99"/>
    <x v="2"/>
    <x v="0"/>
    <s v="Standard"/>
    <d v="2022-03-13T00:00:00"/>
    <n v="999.95"/>
    <n v="999.95"/>
    <n v="99.995000000000005"/>
    <n v="0.1"/>
  </r>
  <r>
    <s v="TRX0243"/>
    <x v="122"/>
    <s v="CUST048"/>
    <s v="Virginia Sanders"/>
    <s v="P009"/>
    <x v="0"/>
    <s v="Electronics"/>
    <n v="5"/>
    <n v="249.99"/>
    <x v="1"/>
    <x v="1"/>
    <s v="Basic"/>
    <d v="2024-02-08T00:00:00"/>
    <n v="1249.95"/>
    <n v="1249.95"/>
    <n v="124.995"/>
    <n v="0.1"/>
  </r>
  <r>
    <s v="TRX0084"/>
    <x v="123"/>
    <s v="CUST031"/>
    <s v="Steven Turner"/>
    <s v="P003"/>
    <x v="3"/>
    <s v="Electronics"/>
    <n v="4"/>
    <n v="149.99"/>
    <x v="3"/>
    <x v="4"/>
    <s v="Standard"/>
    <d v="2021-12-06T00:00:00"/>
    <n v="599.96"/>
    <n v="599.96"/>
    <n v="59.996000000000009"/>
    <n v="0.1"/>
  </r>
  <r>
    <s v="TRX0238"/>
    <x v="123"/>
    <s v="CUST038"/>
    <s v="Michelle Rogers"/>
    <s v="P002"/>
    <x v="5"/>
    <s v="Electronics"/>
    <n v="3"/>
    <n v="699.99"/>
    <x v="0"/>
    <x v="2"/>
    <s v="Premium"/>
    <d v="2022-02-10T00:00:00"/>
    <n v="2099.9699999999998"/>
    <n v="2099.9699999999998"/>
    <n v="209.99699999999999"/>
    <n v="0.1"/>
  </r>
  <r>
    <s v="TRX0102"/>
    <x v="124"/>
    <s v="CUST045"/>
    <s v="Douglas Watson"/>
    <s v="P004"/>
    <x v="7"/>
    <s v="Appliances"/>
    <n v="1"/>
    <n v="79.989999999999995"/>
    <x v="1"/>
    <x v="1"/>
    <s v="Basic"/>
    <d v="2024-01-31T00:00:00"/>
    <n v="79.989999999999995"/>
    <n v="79.989999999999995"/>
    <n v="7.9989999999999997"/>
    <n v="0.1"/>
  </r>
  <r>
    <s v="TRX0022"/>
    <x v="124"/>
    <s v="CUST025"/>
    <s v="Mark Carter"/>
    <s v="P007"/>
    <x v="6"/>
    <s v="Furniture"/>
    <n v="1"/>
    <n v="299.99"/>
    <x v="1"/>
    <x v="2"/>
    <s v="Basic"/>
    <d v="2021-08-28T00:00:00"/>
    <n v="299.99"/>
    <n v="299.99"/>
    <n v="29.999000000000002"/>
    <n v="0.1"/>
  </r>
  <r>
    <s v="TRX0087"/>
    <x v="125"/>
    <s v="CUST028"/>
    <s v="Betty Campbell"/>
    <s v="P009"/>
    <x v="0"/>
    <s v="Electronics"/>
    <n v="4"/>
    <n v="249.99"/>
    <x v="1"/>
    <x v="2"/>
    <s v="Premium"/>
    <d v="2021-09-21T00:00:00"/>
    <n v="999.96"/>
    <n v="999.96"/>
    <n v="99.996000000000009"/>
    <n v="0.1"/>
  </r>
  <r>
    <s v="TRX0107"/>
    <x v="125"/>
    <s v="CUST030"/>
    <s v="Helen Roberts"/>
    <s v="P003"/>
    <x v="3"/>
    <s v="Electronics"/>
    <n v="2"/>
    <n v="149.99"/>
    <x v="0"/>
    <x v="2"/>
    <s v="Standard"/>
    <d v="2022-12-18T00:00:00"/>
    <n v="299.98"/>
    <n v="299.98"/>
    <n v="29.998000000000005"/>
    <n v="0.1"/>
  </r>
  <r>
    <s v="TRX0051"/>
    <x v="125"/>
    <s v="CUST032"/>
    <s v="Sandra Phillips"/>
    <s v="P007"/>
    <x v="6"/>
    <s v="Furniture"/>
    <n v="3"/>
    <n v="299.99"/>
    <x v="1"/>
    <x v="1"/>
    <s v="Basic"/>
    <d v="2023-10-05T00:00:00"/>
    <n v="899.97"/>
    <n v="899.97"/>
    <n v="89.997000000000014"/>
    <n v="0.1"/>
  </r>
  <r>
    <s v="TRX0106"/>
    <x v="126"/>
    <s v="CUST039"/>
    <s v="Lawrence Reed"/>
    <s v="P006"/>
    <x v="9"/>
    <s v="Furniture"/>
    <n v="4"/>
    <n v="199.99"/>
    <x v="3"/>
    <x v="1"/>
    <s v="Standard"/>
    <d v="2021-12-14T00:00:00"/>
    <n v="799.96"/>
    <n v="799.96"/>
    <n v="79.996000000000009"/>
    <n v="0.1"/>
  </r>
  <r>
    <s v="TRX0059"/>
    <x v="126"/>
    <s v="CUST016"/>
    <s v="Elizabeth Hall"/>
    <s v="P007"/>
    <x v="6"/>
    <s v="Furniture"/>
    <n v="5"/>
    <n v="299.99"/>
    <x v="3"/>
    <x v="0"/>
    <s v="Basic"/>
    <d v="2021-08-23T00:00:00"/>
    <n v="1499.95"/>
    <n v="1499.95"/>
    <n v="149.995"/>
    <n v="0.1"/>
  </r>
  <r>
    <s v="TRX0072"/>
    <x v="126"/>
    <s v="CUST009"/>
    <s v="Robert Thomas"/>
    <s v="P008"/>
    <x v="2"/>
    <s v="Furniture"/>
    <n v="3"/>
    <n v="149.99"/>
    <x v="1"/>
    <x v="4"/>
    <s v="Standard"/>
    <d v="2021-07-18T00:00:00"/>
    <n v="449.97"/>
    <n v="449.97"/>
    <n v="44.997000000000007"/>
    <n v="0.1"/>
  </r>
  <r>
    <s v="TRX0110"/>
    <x v="127"/>
    <s v="CUST006"/>
    <s v="Lisa Anderson"/>
    <s v="P005"/>
    <x v="1"/>
    <s v="Appliances"/>
    <n v="5"/>
    <n v="59.99"/>
    <x v="3"/>
    <x v="4"/>
    <s v="Basic"/>
    <d v="2022-03-22T00:00:00"/>
    <n v="299.95"/>
    <n v="299.95"/>
    <n v="29.995000000000001"/>
    <n v="0.1"/>
  </r>
  <r>
    <s v="TRX0126"/>
    <x v="128"/>
    <s v="CUST022"/>
    <s v="Susan Green"/>
    <s v="P005"/>
    <x v="1"/>
    <s v="Appliances"/>
    <n v="4"/>
    <n v="59.99"/>
    <x v="3"/>
    <x v="4"/>
    <s v="Standard"/>
    <d v="2022-01-03T00:00:00"/>
    <n v="239.96"/>
    <n v="239.96"/>
    <n v="23.996000000000002"/>
    <n v="0.1"/>
  </r>
  <r>
    <s v="TRX0159"/>
    <x v="129"/>
    <s v="CUST024"/>
    <s v="Dorothy Nelson"/>
    <s v="P009"/>
    <x v="0"/>
    <s v="Electronics"/>
    <n v="4"/>
    <n v="249.99"/>
    <x v="3"/>
    <x v="0"/>
    <s v="Premium"/>
    <d v="2023-10-18T00:00:00"/>
    <n v="999.96"/>
    <n v="999.96"/>
    <n v="99.996000000000009"/>
    <n v="0.1"/>
  </r>
  <r>
    <s v="TRX0030"/>
    <x v="130"/>
    <s v="CUST011"/>
    <s v="William White"/>
    <s v="P001"/>
    <x v="4"/>
    <s v="Electronics"/>
    <n v="4"/>
    <n v="899.99"/>
    <x v="2"/>
    <x v="0"/>
    <s v="Basic"/>
    <d v="2022-06-22T00:00:00"/>
    <n v="3599.96"/>
    <n v="3599.96"/>
    <n v="359.99600000000004"/>
    <n v="0.1"/>
  </r>
  <r>
    <s v="TRX0178"/>
    <x v="130"/>
    <s v="CUST025"/>
    <s v="Mark Carter"/>
    <s v="P007"/>
    <x v="6"/>
    <s v="Furniture"/>
    <n v="3"/>
    <n v="299.99"/>
    <x v="3"/>
    <x v="3"/>
    <s v="Standard"/>
    <d v="2023-01-26T00:00:00"/>
    <n v="899.97"/>
    <n v="899.97"/>
    <n v="89.997000000000014"/>
    <n v="0.1"/>
  </r>
  <r>
    <s v="TRX0188"/>
    <x v="130"/>
    <s v="CUST045"/>
    <s v="Douglas Watson"/>
    <s v="P002"/>
    <x v="5"/>
    <s v="Electronics"/>
    <n v="2"/>
    <n v="699.99"/>
    <x v="3"/>
    <x v="0"/>
    <s v="Premium"/>
    <d v="2022-04-30T00:00:00"/>
    <n v="1399.98"/>
    <n v="1399.98"/>
    <n v="139.99800000000002"/>
    <n v="0.1"/>
  </r>
  <r>
    <s v="TRX0010"/>
    <x v="131"/>
    <s v="CUST026"/>
    <s v="Karen Hill"/>
    <s v="P002"/>
    <x v="5"/>
    <s v="Electronics"/>
    <n v="4"/>
    <n v="699.99"/>
    <x v="3"/>
    <x v="3"/>
    <s v="Premium"/>
    <d v="2022-05-11T00:00:00"/>
    <n v="2799.96"/>
    <n v="2799.96"/>
    <n v="279.99600000000004"/>
    <n v="0.1"/>
  </r>
  <r>
    <s v="TRX0069"/>
    <x v="131"/>
    <s v="CUST029"/>
    <s v="Edward Mitchell"/>
    <s v="P010"/>
    <x v="8"/>
    <s v="Electronics"/>
    <n v="2"/>
    <n v="89.99"/>
    <x v="3"/>
    <x v="1"/>
    <s v="Basic"/>
    <d v="2022-08-04T00:00:00"/>
    <n v="179.98"/>
    <n v="179.98"/>
    <n v="17.998000000000001"/>
    <n v="0.1"/>
  </r>
  <r>
    <s v="TRX0166"/>
    <x v="131"/>
    <s v="CUST003"/>
    <s v="Michael Brown"/>
    <s v="P010"/>
    <x v="8"/>
    <s v="Electronics"/>
    <n v="3"/>
    <n v="89.99"/>
    <x v="3"/>
    <x v="1"/>
    <s v="Premium"/>
    <d v="2024-01-16T00:00:00"/>
    <n v="269.97000000000003"/>
    <n v="269.97000000000003"/>
    <n v="26.997000000000003"/>
    <n v="0.1"/>
  </r>
  <r>
    <s v="TRX0219"/>
    <x v="132"/>
    <s v="CUST037"/>
    <s v="Arthur Edwards"/>
    <s v="P005"/>
    <x v="1"/>
    <s v="Appliances"/>
    <n v="1"/>
    <n v="59.99"/>
    <x v="3"/>
    <x v="0"/>
    <s v="Standard"/>
    <d v="2023-04-29T00:00:00"/>
    <n v="59.99"/>
    <n v="59.99"/>
    <n v="5.9990000000000006"/>
    <n v="0.1"/>
  </r>
  <r>
    <s v="TRX0024"/>
    <x v="133"/>
    <s v="CUST042"/>
    <s v="Ruth Brooks"/>
    <s v="P008"/>
    <x v="2"/>
    <s v="Furniture"/>
    <n v="3"/>
    <n v="149.99"/>
    <x v="3"/>
    <x v="2"/>
    <s v="Premium"/>
    <d v="2022-01-03T00:00:00"/>
    <n v="449.97"/>
    <n v="449.97"/>
    <n v="44.997000000000007"/>
    <n v="0.1"/>
  </r>
  <r>
    <s v="TRX0105"/>
    <x v="133"/>
    <s v="CUST048"/>
    <s v="Virginia Sanders"/>
    <s v="P007"/>
    <x v="6"/>
    <s v="Furniture"/>
    <n v="5"/>
    <n v="299.99"/>
    <x v="1"/>
    <x v="1"/>
    <s v="Basic"/>
    <d v="2023-02-02T00:00:00"/>
    <n v="1499.95"/>
    <n v="1499.95"/>
    <n v="149.995"/>
    <n v="0.1"/>
  </r>
  <r>
    <s v="TRX0011"/>
    <x v="134"/>
    <s v="CUST040"/>
    <s v="Sharon Butler"/>
    <s v="P005"/>
    <x v="1"/>
    <s v="Appliances"/>
    <n v="5"/>
    <n v="59.99"/>
    <x v="3"/>
    <x v="0"/>
    <s v="Standard"/>
    <d v="2023-09-08T00:00:00"/>
    <n v="299.95"/>
    <n v="299.95"/>
    <n v="29.995000000000001"/>
    <n v="0.1"/>
  </r>
  <r>
    <s v="TRX0187"/>
    <x v="135"/>
    <s v="CUST036"/>
    <s v="Nancy Collins"/>
    <s v="P004"/>
    <x v="7"/>
    <s v="Appliances"/>
    <n v="3"/>
    <n v="79.989999999999995"/>
    <x v="0"/>
    <x v="4"/>
    <s v="Premium"/>
    <d v="2021-08-28T00:00:00"/>
    <n v="239.97"/>
    <n v="239.97"/>
    <n v="23.997"/>
    <n v="0.1"/>
  </r>
  <r>
    <s v="TRX0089"/>
    <x v="136"/>
    <s v="CUST021"/>
    <s v="Kevin Scott"/>
    <s v="P006"/>
    <x v="9"/>
    <s v="Furniture"/>
    <n v="3"/>
    <n v="199.99"/>
    <x v="0"/>
    <x v="0"/>
    <s v="Basic"/>
    <d v="2022-06-23T00:00:00"/>
    <n v="599.97"/>
    <n v="599.97"/>
    <n v="59.997000000000007"/>
    <n v="0.1"/>
  </r>
  <r>
    <s v="TRX0196"/>
    <x v="136"/>
    <s v="CUST023"/>
    <s v="Paul Baker"/>
    <s v="P010"/>
    <x v="8"/>
    <s v="Electronics"/>
    <n v="2"/>
    <n v="89.99"/>
    <x v="2"/>
    <x v="0"/>
    <s v="Basic"/>
    <d v="2023-11-27T00:00:00"/>
    <n v="179.98"/>
    <n v="179.98"/>
    <n v="17.998000000000001"/>
    <n v="0.1"/>
  </r>
  <r>
    <s v="TRX0118"/>
    <x v="137"/>
    <s v="CUST015"/>
    <s v="Richard Lee"/>
    <s v="P008"/>
    <x v="2"/>
    <s v="Furniture"/>
    <n v="2"/>
    <n v="149.99"/>
    <x v="0"/>
    <x v="1"/>
    <s v="Premium"/>
    <d v="2022-06-16T00:00:00"/>
    <n v="299.98"/>
    <n v="299.98"/>
    <n v="29.998000000000005"/>
    <n v="0.1"/>
  </r>
  <r>
    <s v="TRX0179"/>
    <x v="138"/>
    <s v="CUST029"/>
    <s v="Edward Mitchell"/>
    <s v="P002"/>
    <x v="5"/>
    <s v="Electronics"/>
    <n v="5"/>
    <n v="699.99"/>
    <x v="2"/>
    <x v="1"/>
    <s v="Premium"/>
    <d v="2024-03-01T00:00:00"/>
    <n v="3499.95"/>
    <n v="3499.95"/>
    <n v="349.995"/>
    <n v="0.1"/>
  </r>
  <r>
    <s v="TRX0168"/>
    <x v="138"/>
    <s v="CUST003"/>
    <s v="Michael Brown"/>
    <s v="P008"/>
    <x v="2"/>
    <s v="Furniture"/>
    <n v="3"/>
    <n v="149.99"/>
    <x v="2"/>
    <x v="0"/>
    <s v="Standard"/>
    <d v="2022-03-13T00:00:00"/>
    <n v="449.97"/>
    <n v="449.97"/>
    <n v="44.997000000000007"/>
    <n v="0.1"/>
  </r>
  <r>
    <s v="TRX0214"/>
    <x v="139"/>
    <s v="CUST018"/>
    <s v="Barbara Young"/>
    <s v="P001"/>
    <x v="4"/>
    <s v="Electronics"/>
    <n v="3"/>
    <n v="899.99"/>
    <x v="0"/>
    <x v="4"/>
    <s v="Standard"/>
    <d v="2022-02-21T00:00:00"/>
    <n v="2699.97"/>
    <n v="2699.97"/>
    <n v="269.99700000000001"/>
    <n v="0.1"/>
  </r>
  <r>
    <s v="TRX0221"/>
    <x v="139"/>
    <s v="CUST033"/>
    <s v="Frank Torres"/>
    <s v="P006"/>
    <x v="9"/>
    <s v="Furniture"/>
    <n v="3"/>
    <n v="199.99"/>
    <x v="0"/>
    <x v="3"/>
    <s v="Premium"/>
    <d v="2022-09-19T00:00:00"/>
    <n v="599.97"/>
    <n v="599.97"/>
    <n v="59.997000000000007"/>
    <n v="0.1"/>
  </r>
  <r>
    <s v="TRX0083"/>
    <x v="140"/>
    <s v="CUST017"/>
    <s v="Charles Allen"/>
    <s v="P007"/>
    <x v="6"/>
    <s v="Furniture"/>
    <n v="5"/>
    <n v="299.99"/>
    <x v="0"/>
    <x v="3"/>
    <s v="Standard"/>
    <d v="2023-08-04T00:00:00"/>
    <n v="1499.95"/>
    <n v="1499.95"/>
    <n v="149.995"/>
    <n v="0.1"/>
  </r>
  <r>
    <s v="TRX0151"/>
    <x v="140"/>
    <s v="CUST040"/>
    <s v="Sharon Butler"/>
    <s v="P002"/>
    <x v="5"/>
    <s v="Electronics"/>
    <n v="1"/>
    <n v="699.99"/>
    <x v="2"/>
    <x v="3"/>
    <s v="Basic"/>
    <d v="2023-01-08T00:00:00"/>
    <n v="699.99"/>
    <n v="699.99"/>
    <n v="69.999000000000009"/>
    <n v="0.1"/>
  </r>
  <r>
    <s v="TRX0047"/>
    <x v="141"/>
    <s v="CUST042"/>
    <s v="Ruth Brooks"/>
    <s v="P002"/>
    <x v="5"/>
    <s v="Electronics"/>
    <n v="1"/>
    <n v="699.99"/>
    <x v="0"/>
    <x v="2"/>
    <s v="Premium"/>
    <d v="2022-01-22T00:00:00"/>
    <n v="699.99"/>
    <n v="699.99"/>
    <n v="69.999000000000009"/>
    <n v="0.1"/>
  </r>
  <r>
    <s v="TRX0200"/>
    <x v="141"/>
    <s v="CUST037"/>
    <s v="Arthur Edwards"/>
    <s v="P008"/>
    <x v="2"/>
    <s v="Furniture"/>
    <n v="4"/>
    <n v="149.99"/>
    <x v="2"/>
    <x v="2"/>
    <s v="Premium"/>
    <d v="2021-08-04T00:00:00"/>
    <n v="599.96"/>
    <n v="599.96"/>
    <n v="59.996000000000009"/>
    <n v="0.1"/>
  </r>
  <r>
    <s v="TRX0062"/>
    <x v="141"/>
    <s v="CUST016"/>
    <s v="Elizabeth Hall"/>
    <s v="P010"/>
    <x v="8"/>
    <s v="Electronics"/>
    <n v="5"/>
    <n v="89.99"/>
    <x v="2"/>
    <x v="3"/>
    <s v="Premium"/>
    <d v="2023-08-02T00:00:00"/>
    <n v="449.95"/>
    <n v="449.95"/>
    <n v="44.995000000000005"/>
    <n v="0.1"/>
  </r>
  <r>
    <s v="TRX0182"/>
    <x v="142"/>
    <s v="CUST031"/>
    <s v="Steven Turner"/>
    <s v="P006"/>
    <x v="9"/>
    <s v="Furniture"/>
    <n v="2"/>
    <n v="199.99"/>
    <x v="0"/>
    <x v="0"/>
    <s v="Premium"/>
    <d v="2022-01-12T00:00:00"/>
    <n v="399.98"/>
    <n v="399.98"/>
    <n v="39.998000000000005"/>
    <n v="0.1"/>
  </r>
  <r>
    <s v="TRX0229"/>
    <x v="143"/>
    <s v="CUST015"/>
    <s v="Richard Lee"/>
    <s v="P005"/>
    <x v="1"/>
    <s v="Appliances"/>
    <n v="4"/>
    <n v="59.99"/>
    <x v="0"/>
    <x v="3"/>
    <s v="Standard"/>
    <d v="2023-05-24T00:00:00"/>
    <n v="239.96"/>
    <n v="239.96"/>
    <n v="23.996000000000002"/>
    <n v="0.1"/>
  </r>
  <r>
    <s v="TRX0048"/>
    <x v="143"/>
    <s v="CUST048"/>
    <s v="Virginia Sanders"/>
    <s v="P007"/>
    <x v="6"/>
    <s v="Furniture"/>
    <n v="2"/>
    <n v="299.99"/>
    <x v="2"/>
    <x v="1"/>
    <s v="Basic"/>
    <d v="2022-01-15T00:00:00"/>
    <n v="599.98"/>
    <n v="599.98"/>
    <n v="59.998000000000005"/>
    <n v="0.1"/>
  </r>
  <r>
    <s v="TRX0227"/>
    <x v="144"/>
    <s v="CUST017"/>
    <s v="Charles Allen"/>
    <s v="P008"/>
    <x v="2"/>
    <s v="Furniture"/>
    <n v="2"/>
    <n v="149.99"/>
    <x v="0"/>
    <x v="0"/>
    <s v="Basic"/>
    <d v="2023-05-22T00:00:00"/>
    <n v="299.98"/>
    <n v="299.98"/>
    <n v="29.998000000000005"/>
    <n v="0.1"/>
  </r>
  <r>
    <s v="TRX0226"/>
    <x v="145"/>
    <s v="CUST039"/>
    <s v="Lawrence Reed"/>
    <s v="P002"/>
    <x v="5"/>
    <s v="Electronics"/>
    <n v="5"/>
    <n v="699.99"/>
    <x v="3"/>
    <x v="4"/>
    <s v="Premium"/>
    <d v="2023-08-23T00:00:00"/>
    <n v="3499.95"/>
    <n v="3499.95"/>
    <n v="349.995"/>
    <n v="0.1"/>
  </r>
  <r>
    <s v="TRX0053"/>
    <x v="146"/>
    <s v="CUST043"/>
    <s v="Dennis Gray"/>
    <s v="P005"/>
    <x v="1"/>
    <s v="Appliances"/>
    <n v="5"/>
    <n v="59.99"/>
    <x v="0"/>
    <x v="3"/>
    <s v="Premium"/>
    <d v="2023-12-31T00:00:00"/>
    <n v="299.95"/>
    <n v="299.95"/>
    <n v="29.995000000000001"/>
    <n v="0.1"/>
  </r>
  <r>
    <s v="TRX0233"/>
    <x v="147"/>
    <s v="CUST023"/>
    <s v="Paul Baker"/>
    <s v="P010"/>
    <x v="8"/>
    <s v="Electronics"/>
    <n v="2"/>
    <n v="89.99"/>
    <x v="1"/>
    <x v="3"/>
    <s v="Premium"/>
    <d v="2024-01-04T00:00:00"/>
    <n v="179.98"/>
    <n v="179.98"/>
    <n v="17.998000000000001"/>
    <n v="0.1"/>
  </r>
  <r>
    <s v="TRX0175"/>
    <x v="147"/>
    <s v="CUST030"/>
    <s v="Helen Roberts"/>
    <s v="P009"/>
    <x v="0"/>
    <s v="Electronics"/>
    <n v="5"/>
    <n v="249.99"/>
    <x v="0"/>
    <x v="4"/>
    <s v="Standard"/>
    <d v="2021-12-10T00:00:00"/>
    <n v="1249.95"/>
    <n v="1249.95"/>
    <n v="124.995"/>
    <n v="0.1"/>
  </r>
  <r>
    <s v="TRX0186"/>
    <x v="148"/>
    <s v="CUST039"/>
    <s v="Lawrence Reed"/>
    <s v="P008"/>
    <x v="2"/>
    <s v="Furniture"/>
    <n v="2"/>
    <n v="149.99"/>
    <x v="2"/>
    <x v="0"/>
    <s v="Premium"/>
    <d v="2022-03-12T00:00:00"/>
    <n v="299.98"/>
    <n v="299.98"/>
    <n v="29.998000000000005"/>
    <n v="0.1"/>
  </r>
  <r>
    <s v="TRX0016"/>
    <x v="148"/>
    <s v="CUST035"/>
    <s v="Harry Morgan"/>
    <s v="P001"/>
    <x v="4"/>
    <s v="Electronics"/>
    <n v="5"/>
    <n v="899.99"/>
    <x v="2"/>
    <x v="4"/>
    <s v="Premium"/>
    <d v="2024-04-07T00:00:00"/>
    <n v="4499.95"/>
    <n v="4499.95"/>
    <n v="449.995"/>
    <n v="0.1"/>
  </r>
  <r>
    <s v="TRX0199"/>
    <x v="148"/>
    <s v="CUST017"/>
    <s v="Charles Allen"/>
    <s v="P008"/>
    <x v="2"/>
    <s v="Furniture"/>
    <n v="4"/>
    <n v="149.99"/>
    <x v="0"/>
    <x v="0"/>
    <s v="Standard"/>
    <d v="2023-12-03T00:00:00"/>
    <n v="599.96"/>
    <n v="599.96"/>
    <n v="59.996000000000009"/>
    <n v="0.1"/>
  </r>
  <r>
    <s v="TRX0038"/>
    <x v="149"/>
    <s v="CUST035"/>
    <s v="Harry Morgan"/>
    <s v="P009"/>
    <x v="0"/>
    <s v="Electronics"/>
    <n v="1"/>
    <n v="249.99"/>
    <x v="0"/>
    <x v="2"/>
    <s v="Standard"/>
    <d v="2023-07-10T00:00:00"/>
    <n v="249.99"/>
    <n v="249.99"/>
    <n v="24.999000000000002"/>
    <n v="0.1"/>
  </r>
  <r>
    <s v="TRX0014"/>
    <x v="150"/>
    <s v="CUST033"/>
    <s v="Frank Torres"/>
    <s v="P005"/>
    <x v="1"/>
    <s v="Appliances"/>
    <n v="2"/>
    <n v="59.99"/>
    <x v="1"/>
    <x v="3"/>
    <s v="Basic"/>
    <d v="2023-09-24T00:00:00"/>
    <n v="119.98"/>
    <n v="119.98"/>
    <n v="11.998000000000001"/>
    <n v="0.1"/>
  </r>
  <r>
    <s v="TRX0003"/>
    <x v="151"/>
    <s v="CUST002"/>
    <s v="Emma Wilson"/>
    <s v="P008"/>
    <x v="2"/>
    <s v="Furniture"/>
    <n v="2"/>
    <n v="149.99"/>
    <x v="0"/>
    <x v="3"/>
    <s v="Premium"/>
    <d v="2023-11-03T00:00:00"/>
    <n v="299.98"/>
    <n v="299.98"/>
    <n v="29.998000000000005"/>
    <n v="0.1"/>
  </r>
  <r>
    <s v="TRX0124"/>
    <x v="151"/>
    <s v="CUST040"/>
    <s v="Sharon Butler"/>
    <s v="P001"/>
    <x v="4"/>
    <s v="Electronics"/>
    <n v="3"/>
    <n v="899.99"/>
    <x v="3"/>
    <x v="2"/>
    <s v="Premium"/>
    <d v="2022-11-11T00:00:00"/>
    <n v="2699.97"/>
    <n v="2699.97"/>
    <n v="269.99700000000001"/>
    <n v="0.1"/>
  </r>
  <r>
    <s v="TRX0013"/>
    <x v="151"/>
    <s v="CUST024"/>
    <s v="Dorothy Nelson"/>
    <s v="P001"/>
    <x v="4"/>
    <s v="Electronics"/>
    <n v="3"/>
    <n v="899.99"/>
    <x v="2"/>
    <x v="2"/>
    <s v="Basic"/>
    <d v="2023-02-18T00:00:00"/>
    <n v="2699.97"/>
    <n v="2699.97"/>
    <n v="269.99700000000001"/>
    <n v="0.1"/>
  </r>
  <r>
    <s v="TRX0019"/>
    <x v="152"/>
    <s v="CUST023"/>
    <s v="Paul Baker"/>
    <s v="P007"/>
    <x v="6"/>
    <s v="Furniture"/>
    <n v="3"/>
    <n v="299.99"/>
    <x v="1"/>
    <x v="3"/>
    <s v="Premium"/>
    <d v="2023-11-04T00:00:00"/>
    <n v="899.97"/>
    <n v="899.97"/>
    <n v="89.997000000000014"/>
    <n v="0.1"/>
  </r>
  <r>
    <s v="TRX0050"/>
    <x v="153"/>
    <s v="CUST001"/>
    <s v="John Smith"/>
    <s v="P008"/>
    <x v="2"/>
    <s v="Furniture"/>
    <n v="4"/>
    <n v="149.99"/>
    <x v="2"/>
    <x v="3"/>
    <s v="Standard"/>
    <d v="2021-12-30T00:00:00"/>
    <n v="599.96"/>
    <n v="599.96"/>
    <n v="59.996000000000009"/>
    <n v="0.1"/>
  </r>
  <r>
    <s v="TRX0152"/>
    <x v="154"/>
    <s v="CUST044"/>
    <s v="Cynthia Price"/>
    <s v="P004"/>
    <x v="7"/>
    <s v="Appliances"/>
    <n v="4"/>
    <n v="79.989999999999995"/>
    <x v="1"/>
    <x v="0"/>
    <s v="Basic"/>
    <d v="2023-12-28T00:00:00"/>
    <n v="319.95999999999998"/>
    <n v="319.95999999999998"/>
    <n v="31.995999999999999"/>
    <n v="0.1"/>
  </r>
  <r>
    <s v="TRX0213"/>
    <x v="155"/>
    <s v="CUST020"/>
    <s v="Margaret Wright"/>
    <s v="P010"/>
    <x v="8"/>
    <s v="Electronics"/>
    <n v="5"/>
    <n v="89.99"/>
    <x v="2"/>
    <x v="1"/>
    <s v="Basic"/>
    <d v="2022-05-23T00:00:00"/>
    <n v="449.95"/>
    <n v="449.95"/>
    <n v="44.995000000000005"/>
    <n v="0.1"/>
  </r>
  <r>
    <s v="TRX0197"/>
    <x v="156"/>
    <s v="CUST048"/>
    <s v="Virginia Sanders"/>
    <s v="P008"/>
    <x v="2"/>
    <s v="Furniture"/>
    <n v="3"/>
    <n v="149.99"/>
    <x v="2"/>
    <x v="0"/>
    <s v="Standard"/>
    <d v="2023-09-02T00:00:00"/>
    <n v="449.97"/>
    <n v="449.97"/>
    <n v="44.997000000000007"/>
    <n v="0.1"/>
  </r>
  <r>
    <s v="TRX0250"/>
    <x v="156"/>
    <s v="CUST026"/>
    <s v="Karen Hill"/>
    <s v="P010"/>
    <x v="8"/>
    <s v="Electronics"/>
    <n v="2"/>
    <n v="89.99"/>
    <x v="3"/>
    <x v="3"/>
    <s v="Premium"/>
    <d v="2021-11-22T00:00:00"/>
    <n v="179.98"/>
    <n v="179.98"/>
    <n v="17.998000000000001"/>
    <n v="0.1"/>
  </r>
  <r>
    <s v="TRX0068"/>
    <x v="157"/>
    <s v="CUST044"/>
    <s v="Cynthia Price"/>
    <s v="P002"/>
    <x v="5"/>
    <s v="Electronics"/>
    <n v="2"/>
    <n v="699.99"/>
    <x v="2"/>
    <x v="2"/>
    <s v="Standard"/>
    <d v="2022-02-26T00:00:00"/>
    <n v="1399.98"/>
    <n v="1399.98"/>
    <n v="139.99800000000002"/>
    <n v="0.1"/>
  </r>
  <r>
    <s v="TRX0144"/>
    <x v="158"/>
    <s v="CUST029"/>
    <s v="Edward Mitchell"/>
    <s v="P001"/>
    <x v="4"/>
    <s v="Electronics"/>
    <n v="3"/>
    <n v="899.99"/>
    <x v="0"/>
    <x v="0"/>
    <s v="Standard"/>
    <d v="2023-01-27T00:00:00"/>
    <n v="2699.97"/>
    <n v="2699.97"/>
    <n v="269.99700000000001"/>
    <n v="0.1"/>
  </r>
  <r>
    <s v="TRX0039"/>
    <x v="159"/>
    <s v="CUST048"/>
    <s v="Virginia Sanders"/>
    <s v="P004"/>
    <x v="7"/>
    <s v="Appliances"/>
    <n v="3"/>
    <n v="79.989999999999995"/>
    <x v="1"/>
    <x v="2"/>
    <s v="Basic"/>
    <d v="2021-11-11T00:00:00"/>
    <n v="239.97"/>
    <n v="239.97"/>
    <n v="23.997"/>
    <n v="0.1"/>
  </r>
  <r>
    <s v="TRX0116"/>
    <x v="160"/>
    <s v="CUST009"/>
    <s v="Robert Thomas"/>
    <s v="P010"/>
    <x v="8"/>
    <s v="Electronics"/>
    <n v="1"/>
    <n v="89.99"/>
    <x v="3"/>
    <x v="4"/>
    <s v="Basic"/>
    <d v="2024-02-24T00:00:00"/>
    <n v="89.99"/>
    <n v="89.99"/>
    <n v="8.9990000000000006"/>
    <n v="0.1"/>
  </r>
  <r>
    <s v="TRX0120"/>
    <x v="161"/>
    <s v="CUST045"/>
    <s v="Douglas Watson"/>
    <s v="P002"/>
    <x v="5"/>
    <s v="Electronics"/>
    <n v="3"/>
    <n v="699.99"/>
    <x v="2"/>
    <x v="2"/>
    <s v="Basic"/>
    <d v="2022-12-14T00:00:00"/>
    <n v="2099.9699999999998"/>
    <n v="2099.9699999999998"/>
    <n v="209.99699999999999"/>
    <n v="0.1"/>
  </r>
  <r>
    <s v="TRX0103"/>
    <x v="161"/>
    <s v="CUST039"/>
    <s v="Lawrence Reed"/>
    <s v="P010"/>
    <x v="8"/>
    <s v="Electronics"/>
    <n v="2"/>
    <n v="89.99"/>
    <x v="3"/>
    <x v="4"/>
    <s v="Basic"/>
    <d v="2023-06-11T00:00:00"/>
    <n v="179.98"/>
    <n v="179.98"/>
    <n v="17.998000000000001"/>
    <n v="0.1"/>
  </r>
  <r>
    <s v="TRX0064"/>
    <x v="161"/>
    <s v="CUST031"/>
    <s v="Steven Turner"/>
    <s v="P010"/>
    <x v="8"/>
    <s v="Electronics"/>
    <n v="3"/>
    <n v="89.99"/>
    <x v="3"/>
    <x v="2"/>
    <s v="Premium"/>
    <d v="2022-11-13T00:00:00"/>
    <n v="269.97000000000003"/>
    <n v="269.97000000000003"/>
    <n v="26.997000000000003"/>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6448A-AC7B-422E-BF61-70985E3EF1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dataField="1" showAll="0"/>
    <pivotField numFmtId="166" showAll="0"/>
    <pivotField dataField="1" showAll="0"/>
    <pivotField showAll="0"/>
    <pivotField showAll="0"/>
    <pivotField showAll="0"/>
    <pivotField showAll="0"/>
    <pivotField dataField="1" numFmtId="2" showAll="0"/>
    <pivotField numFmtId="164" showAll="0"/>
    <pivotField showAll="0"/>
    <pivotField showAll="0"/>
    <pivotField showAll="0"/>
    <pivotField numFmtId="166" showAll="0"/>
    <pivotField dataField="1" numFmtId="165" showAll="0"/>
    <pivotField numFmtId="165" showAll="0"/>
    <pivotField numFmtId="165" showAll="0"/>
    <pivotField showAll="0"/>
  </pivotFields>
  <rowItems count="1">
    <i/>
  </rowItems>
  <colFields count="1">
    <field x="-2"/>
  </colFields>
  <colItems count="4">
    <i>
      <x/>
    </i>
    <i i="1">
      <x v="1"/>
    </i>
    <i i="2">
      <x v="2"/>
    </i>
    <i i="3">
      <x v="3"/>
    </i>
  </colItems>
  <dataFields count="4">
    <dataField name="Sum of Total_Amount" fld="13" baseField="0" baseItem="0" numFmtId="165"/>
    <dataField name="Count of Customer_ID" fld="2" subtotal="count" baseField="0" baseItem="0"/>
    <dataField name="Sum of Quantity" fld="7" baseField="0" baseItem="0" numFmtId="2"/>
    <dataField name="Count of Transaction_ID" fld="0"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242E9BF-53C4-4E71-96A5-09CB879F7526}" sourceName="Product_Name">
  <data>
    <tabular pivotCacheId="684868832">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D760322-F742-43B1-87F0-73C74BA1F411}" sourceName="Payment_Method">
  <data>
    <tabular pivotCacheId="68486883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3AB07-9F6F-4018-98F3-3D815E76FFB6}" sourceName="Region">
  <data>
    <tabular pivotCacheId="6848688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FF949BF-AAF9-491D-8489-A91E6C56A583}" cache="Slicer_Product_Name" caption="Product_Name" startItem="6" rowHeight="257175"/>
  <slicer name="Payment_Method" xr10:uid="{B742B3BB-AA81-4741-9C89-89B3893A537E}" cache="Slicer_Payment_Method" caption="Payment_Method" rowHeight="257175"/>
  <slicer name="Region" xr10:uid="{39D898E8-B5D8-4ED4-A42E-1C49BB734E52}"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AA191-AF5B-43FD-AA99-7E511B3FD9E9}" name="SalesData" displayName="SalesData" ref="A1:N251" totalsRowShown="0" headerRowDxfId="68" dataDxfId="66" headerRowBorderDxfId="67" tableBorderDxfId="65" totalsRowBorderDxfId="64">
  <autoFilter ref="A1:N251" xr:uid="{D5EAA191-AF5B-43FD-AA99-7E511B3FD9E9}"/>
  <tableColumns count="14">
    <tableColumn id="1" xr3:uid="{35979F4A-C275-4A6E-A6BD-FD49381199E0}" name="Transaction_ID" dataDxfId="63"/>
    <tableColumn id="2" xr3:uid="{EE80CD94-5E5C-455A-B78E-F282A576FDE1}" name="Date" dataDxfId="62"/>
    <tableColumn id="3" xr3:uid="{6586888C-13DF-4798-A83D-644A0515B74A}" name="Customer_ID" dataDxfId="61"/>
    <tableColumn id="4" xr3:uid="{A7B44425-FA27-4402-AB2A-1C3908A000CF}" name="Customer_Name" dataDxfId="60"/>
    <tableColumn id="5" xr3:uid="{CDC25DD8-A92C-44F0-91CA-B4710052B288}" name="Product_ID" dataDxfId="59"/>
    <tableColumn id="6" xr3:uid="{E7D85F3F-C368-46AA-83E1-153551B3B293}" name="Product_Name" dataDxfId="58"/>
    <tableColumn id="7" xr3:uid="{0D1E7692-AF3F-4A3C-970B-FB39B29648E3}" name="Category" dataDxfId="57"/>
    <tableColumn id="8" xr3:uid="{676F77B4-FC69-43B3-911C-04E652B694B0}" name="Quantity" dataDxfId="56"/>
    <tableColumn id="9" xr3:uid="{02793D88-4D44-470D-B02F-143C94ABC9F8}" name="Unit_Price" dataDxfId="55"/>
    <tableColumn id="10" xr3:uid="{24649437-59DF-4721-BFC2-835B036B49CE}" name="Payment_Method" dataDxfId="54"/>
    <tableColumn id="11" xr3:uid="{961D787C-9512-452D-AC2E-DB7FE47EEDC6}" name="Region" dataDxfId="53"/>
    <tableColumn id="12" xr3:uid="{E0003D2A-A2C9-4C82-B275-4DD44F7D8085}" name="Customer_Segment" dataDxfId="52"/>
    <tableColumn id="13" xr3:uid="{9375FCB1-3522-4576-A80E-2900EB9BEC08}" name="Customer_Since" dataDxfId="51"/>
    <tableColumn id="14" xr3:uid="{E12502F3-B36A-488C-8BEA-25E4DE27EF11}" name="Total_Amount"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935979-29C5-4E9C-84BF-9F7A7C13179C}" name="Table169" displayName="Table169" ref="A1:E2" totalsRowShown="0" headerRowDxfId="49" dataDxfId="4">
  <autoFilter ref="A1:E2" xr:uid="{1C935979-29C5-4E9C-84BF-9F7A7C13179C}"/>
  <tableColumns count="5">
    <tableColumn id="1" xr3:uid="{DC4447F2-DD04-4888-8D70-E56B66A42B71}" name="Customer Months" dataDxfId="9"/>
    <tableColumn id="2" xr3:uid="{0CB360FC-8517-4B1D-8743-D192B0100199}" name="Month End" dataDxfId="8">
      <calculatedColumnFormula>EOMONTH(SalesData[[#This Row],[Date]],0)</calculatedColumnFormula>
    </tableColumn>
    <tableColumn id="3" xr3:uid="{6B5FD4B4-5D82-492A-A34A-A610BC8CEA01}" name="Today" dataDxfId="7">
      <calculatedColumnFormula>TODAY()</calculatedColumnFormula>
    </tableColumn>
    <tableColumn id="4" xr3:uid="{4EDE63C3-0D6D-4E5A-8921-FB0FD729A930}" name="Current Date Time" dataDxfId="6">
      <calculatedColumnFormula>NOW()</calculatedColumnFormula>
    </tableColumn>
    <tableColumn id="5" xr3:uid="{D5E2DADE-BA4B-4BB5-A701-7D137A58A145}" name="Customer Tenure" dataDxfId="5">
      <calculatedColumnFormula>DATEDIF(SalesData[[#This Row],[Customer_Since]],C2,"Y")</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E0F270-6881-4432-81F5-E6EC8B4F4C9B}" name="Table1010" displayName="Table1010" ref="A1:B8" totalsRowShown="0" headerRowDxfId="3" dataDxfId="0">
  <autoFilter ref="A1:B8" xr:uid="{8BE0F270-6881-4432-81F5-E6EC8B4F4C9B}"/>
  <tableColumns count="2">
    <tableColumn id="1" xr3:uid="{BDF1B772-9CE0-4A3C-A2B0-B856554E3334}" name="Scenario" dataDxfId="2"/>
    <tableColumn id="2" xr3:uid="{92C1EE77-BA2C-48A2-B9DA-073B9D763B5E}" name="Revenue" dataDxfId="1"/>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E1169A-5336-4F0F-95CB-E5166CEE3172}" name="Table12" displayName="Table12" ref="D3:E8" totalsRowShown="0" headerRowDxfId="46">
  <autoFilter ref="D3:E8" xr:uid="{A3E1169A-5336-4F0F-95CB-E5166CEE3172}"/>
  <tableColumns count="2">
    <tableColumn id="1" xr3:uid="{9BD1AFD5-D40B-4832-BACF-E35F86AE817C}" name="Region Analysis" dataDxfId="45"/>
    <tableColumn id="2" xr3:uid="{6F5D1430-121A-4A81-8DD2-98EF3EFFA698}" name="Column1" dataDxfId="44">
      <calculatedColumnFormula>SUMIF(SalesData[Region],D4,SalesData[Total_Amount])</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AC87495-0312-4F07-94CB-9BEC41837B76}" name="Table13" displayName="Table13" ref="A3:B16" totalsRowShown="0" headerRowDxfId="43" dataDxfId="42">
  <autoFilter ref="A3:B16" xr:uid="{BAC87495-0312-4F07-94CB-9BEC41837B76}"/>
  <tableColumns count="2">
    <tableColumn id="1" xr3:uid="{FFCB318F-33C6-4C15-8409-1B4B17B55DE7}" name="Month" dataDxfId="41"/>
    <tableColumn id="2" xr3:uid="{97255379-3BA8-46C0-8555-600F0B83F406}" name="Monthly Revenue" dataDxfId="40">
      <calculatedColumnFormula>SUMIFS(SalesData[Total_Amount],SalesData[Date],"&gt;="&amp;A4,SalesData[Date],"&lt;"&amp;EDATE(A4,1))</calculatedColumnFormula>
    </tableColumn>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6D30E8-94A2-4FFF-9875-5FFAD8A9A98E}" name="Table6" displayName="Table6" ref="A1:B3" totalsRowShown="0" headerRowDxfId="38">
  <autoFilter ref="A1:B3" xr:uid="{F86D30E8-94A2-4FFF-9875-5FFAD8A9A98E}"/>
  <tableColumns count="2">
    <tableColumn id="1" xr3:uid="{59C6741E-5774-41E5-A2D8-AD3B2E8DEADF}" name="High-Value Customers" dataDxfId="37"/>
    <tableColumn id="2" xr3:uid="{9DF92375-7334-4EA4-BB23-6CA8B10610BD}" name="Column1">
      <calculatedColumnFormula>SUMIF(SalesData[Customer_ID],A2,SalesData[Total_Amount])</calculatedColumnFormula>
    </tableColumn>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6C02E5-5650-4C98-A7C9-DEFE2D1E6543}" name="Table11" displayName="Table11" ref="A5:B10" totalsRowShown="0" headerRowDxfId="36">
  <autoFilter ref="A5:B10" xr:uid="{B16C02E5-5650-4C98-A7C9-DEFE2D1E6543}"/>
  <tableColumns count="2">
    <tableColumn id="1" xr3:uid="{A2E8D868-FC6E-4A5A-8F37-4769A21FFCCD}" name="Product Analysis" dataDxfId="35"/>
    <tableColumn id="2" xr3:uid="{8124E997-3548-461E-9D07-AEEC4E4BBE74}" name="Column1" dataDxfId="34">
      <calculatedColumnFormula>SUMIF(SalesData[Product_Name],A6,SalesData[Total_Amount])</calculatedColumnFormula>
    </tableColumn>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43163-42CF-489F-B6AA-2598DDFF4C35}" name="Table1" displayName="Table1" ref="B2:B3" totalsRowShown="0" headerRowDxfId="33" dataDxfId="31" headerRowBorderDxfId="32" tableBorderDxfId="30" totalsRowBorderDxfId="29">
  <autoFilter ref="B2:B3" xr:uid="{31F43163-42CF-489F-B6AA-2598DDFF4C35}"/>
  <tableColumns count="1">
    <tableColumn id="1" xr3:uid="{FFE472EB-3D62-461B-B916-20B1E35D0188}" name="Total Revenue" dataDxfId="28">
      <calculatedColumnFormula>SUM(SalesData[Total_Amount])</calculatedColumnFormula>
    </tableColumn>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75C6E-8F35-4B82-A004-9B632E207A4A}" name="Table3" displayName="Table3" ref="D2:D3" totalsRowShown="0" headerRowDxfId="27" dataDxfId="25" headerRowBorderDxfId="26" tableBorderDxfId="24" totalsRowBorderDxfId="23">
  <autoFilter ref="D2:D3" xr:uid="{67575C6E-8F35-4B82-A004-9B632E207A4A}"/>
  <tableColumns count="1">
    <tableColumn id="1" xr3:uid="{F9540E1E-BF18-4561-8AF4-DA99EF5E9036}" name="Total Transactions" dataDxfId="22">
      <calculatedColumnFormula>COUNTA(SalesData[Transaction_ID])</calculatedColumnFormula>
    </tableColumn>
  </tableColumns>
  <tableStyleInfo name="TableStyleLight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1F894-36AF-4D6C-BC67-9B776D7650C9}" name="Table4" displayName="Table4" ref="F2:F3" totalsRowShown="0" headerRowDxfId="21" dataDxfId="19" headerRowBorderDxfId="20" tableBorderDxfId="18" totalsRowBorderDxfId="17">
  <autoFilter ref="F2:F3" xr:uid="{5CA1F894-36AF-4D6C-BC67-9B776D7650C9}"/>
  <tableColumns count="1">
    <tableColumn id="1" xr3:uid="{3AC2C5BE-7611-482D-ACDE-007E179727A6}" name="Total Quantity" dataDxfId="16">
      <calculatedColumnFormula>SUM(SalesData[Quantity])</calculatedColumnFormula>
    </tableColumn>
  </tableColumns>
  <tableStyleInfo name="TableStyleLight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55026-45E7-4CFF-BAE1-46AA05D867B1}" name="Table5" displayName="Table5" ref="H2:H3" totalsRowShown="0" headerRowDxfId="15" dataDxfId="13" headerRowBorderDxfId="14" tableBorderDxfId="12" totalsRowBorderDxfId="11">
  <autoFilter ref="H2:H3" xr:uid="{D2255026-45E7-4CFF-BAE1-46AA05D867B1}"/>
  <tableColumns count="1">
    <tableColumn id="1" xr3:uid="{1460A081-7BA8-4C6B-9456-820CB09D714E}" name="Total Customers" dataDxfId="10">
      <calculatedColumnFormula>COUNTA(_xlfn.UNIQUE(SalesData[Customer_ID]))</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DFD31F-A404-4FCF-A4A9-9847127DE5CA}" sourceName="Date">
  <state minimalRefreshVersion="6" lastRefreshVersion="6" pivotCacheId="68486883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D390FBC-3446-47CE-81D4-D353C0093059}" cache="NativeTimeline_Date" caption="Date" level="2" selectionLevel="2" scrollPosition="2025-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7" Type="http://schemas.microsoft.com/office/2011/relationships/timeline" Target="../timelines/timeline1.xml"/><Relationship Id="rId2" Type="http://schemas.openxmlformats.org/officeDocument/2006/relationships/table" Target="../tables/table8.x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table" Target="../tables/table11.xml"/><Relationship Id="rId4"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4BC0-A30B-42A4-A309-F7F910E0043D}">
  <dimension ref="A1:R251"/>
  <sheetViews>
    <sheetView topLeftCell="A7" workbookViewId="0">
      <selection activeCell="O3" sqref="O3"/>
    </sheetView>
  </sheetViews>
  <sheetFormatPr defaultColWidth="12.69921875" defaultRowHeight="24.9" customHeight="1"/>
  <cols>
    <col min="1" max="1" width="18.09765625" style="1" bestFit="1" customWidth="1"/>
    <col min="2" max="3" width="12.69921875" style="1"/>
    <col min="4" max="4" width="18.3984375" style="1" customWidth="1"/>
    <col min="5" max="7" width="12.69921875" style="1"/>
    <col min="8" max="8" width="12.69921875" style="20"/>
    <col min="9" max="9" width="12.69921875" style="1"/>
    <col min="10" max="10" width="16.296875" style="1" customWidth="1"/>
    <col min="11" max="11" width="12.69921875" style="1"/>
    <col min="12" max="12" width="10.296875" style="1" customWidth="1"/>
    <col min="13" max="13" width="14.69921875" style="1" customWidth="1"/>
    <col min="14" max="14" width="14.3984375" style="1" customWidth="1"/>
    <col min="15" max="17" width="12.69921875" style="1"/>
    <col min="18" max="18" width="20.3984375" style="1" bestFit="1" customWidth="1"/>
    <col min="19" max="16384" width="12.69921875" style="1"/>
  </cols>
  <sheetData>
    <row r="1" spans="1:18" ht="24.9" customHeight="1" thickBot="1">
      <c r="A1" s="4" t="s">
        <v>0</v>
      </c>
      <c r="B1" s="5" t="s">
        <v>1</v>
      </c>
      <c r="C1" s="5" t="s">
        <v>2</v>
      </c>
      <c r="D1" s="5" t="s">
        <v>3</v>
      </c>
      <c r="E1" s="5" t="s">
        <v>4</v>
      </c>
      <c r="F1" s="36" t="s">
        <v>5</v>
      </c>
      <c r="G1" s="5" t="s">
        <v>6</v>
      </c>
      <c r="H1" s="17" t="s">
        <v>7</v>
      </c>
      <c r="I1" s="5" t="s">
        <v>8</v>
      </c>
      <c r="J1" s="5" t="s">
        <v>9</v>
      </c>
      <c r="K1" s="5" t="s">
        <v>10</v>
      </c>
      <c r="L1" s="5" t="s">
        <v>11</v>
      </c>
      <c r="M1" s="5" t="s">
        <v>12</v>
      </c>
      <c r="N1" s="6" t="s">
        <v>13</v>
      </c>
    </row>
    <row r="2" spans="1:18" ht="24.9" customHeight="1" thickBot="1">
      <c r="A2" s="3" t="s">
        <v>14</v>
      </c>
      <c r="B2" s="14">
        <v>45393</v>
      </c>
      <c r="C2" s="2" t="s">
        <v>15</v>
      </c>
      <c r="D2" s="2" t="s">
        <v>16</v>
      </c>
      <c r="E2" s="2" t="s">
        <v>17</v>
      </c>
      <c r="F2" s="2" t="s">
        <v>18</v>
      </c>
      <c r="G2" s="2" t="s">
        <v>19</v>
      </c>
      <c r="H2" s="18">
        <v>3</v>
      </c>
      <c r="I2" s="10">
        <v>249.99</v>
      </c>
      <c r="J2" s="2" t="s">
        <v>20</v>
      </c>
      <c r="K2" s="2" t="s">
        <v>21</v>
      </c>
      <c r="L2" s="2" t="s">
        <v>22</v>
      </c>
      <c r="M2" s="14">
        <v>44425</v>
      </c>
      <c r="N2" s="12">
        <v>749.97</v>
      </c>
      <c r="P2" s="16"/>
      <c r="Q2" s="16"/>
      <c r="R2" s="9"/>
    </row>
    <row r="3" spans="1:18" ht="24.9" customHeight="1" thickBot="1">
      <c r="A3" s="3" t="s">
        <v>23</v>
      </c>
      <c r="B3" s="14">
        <v>45396</v>
      </c>
      <c r="C3" s="2" t="s">
        <v>24</v>
      </c>
      <c r="D3" s="2" t="s">
        <v>25</v>
      </c>
      <c r="E3" s="2" t="s">
        <v>17</v>
      </c>
      <c r="F3" s="2" t="s">
        <v>18</v>
      </c>
      <c r="G3" s="2" t="s">
        <v>19</v>
      </c>
      <c r="H3" s="18">
        <v>3</v>
      </c>
      <c r="I3" s="10">
        <v>249.99</v>
      </c>
      <c r="J3" s="2" t="s">
        <v>26</v>
      </c>
      <c r="K3" s="2" t="s">
        <v>21</v>
      </c>
      <c r="L3" s="2" t="s">
        <v>27</v>
      </c>
      <c r="M3" s="14">
        <v>44575</v>
      </c>
      <c r="N3" s="12">
        <v>749.97</v>
      </c>
    </row>
    <row r="4" spans="1:18" ht="24.9" customHeight="1" thickBot="1">
      <c r="A4" s="3" t="s">
        <v>28</v>
      </c>
      <c r="B4" s="14">
        <v>45399</v>
      </c>
      <c r="C4" s="2" t="s">
        <v>29</v>
      </c>
      <c r="D4" s="2" t="s">
        <v>30</v>
      </c>
      <c r="E4" s="2" t="s">
        <v>31</v>
      </c>
      <c r="F4" s="2" t="s">
        <v>32</v>
      </c>
      <c r="G4" s="2" t="s">
        <v>33</v>
      </c>
      <c r="H4" s="18">
        <v>3</v>
      </c>
      <c r="I4" s="10">
        <v>59.99</v>
      </c>
      <c r="J4" s="2" t="s">
        <v>34</v>
      </c>
      <c r="K4" s="2" t="s">
        <v>35</v>
      </c>
      <c r="L4" s="2" t="s">
        <v>36</v>
      </c>
      <c r="M4" s="14">
        <v>45262</v>
      </c>
      <c r="N4" s="12">
        <v>179.97</v>
      </c>
    </row>
    <row r="5" spans="1:18" ht="24.9" customHeight="1" thickBot="1">
      <c r="A5" s="3" t="s">
        <v>37</v>
      </c>
      <c r="B5" s="14">
        <v>45400</v>
      </c>
      <c r="C5" s="2" t="s">
        <v>38</v>
      </c>
      <c r="D5" s="2" t="s">
        <v>39</v>
      </c>
      <c r="E5" s="2" t="s">
        <v>31</v>
      </c>
      <c r="F5" s="2" t="s">
        <v>32</v>
      </c>
      <c r="G5" s="2" t="s">
        <v>33</v>
      </c>
      <c r="H5" s="18">
        <v>3</v>
      </c>
      <c r="I5" s="10">
        <v>59.99</v>
      </c>
      <c r="J5" s="2" t="s">
        <v>20</v>
      </c>
      <c r="K5" s="2" t="s">
        <v>40</v>
      </c>
      <c r="L5" s="2" t="s">
        <v>27</v>
      </c>
      <c r="M5" s="14">
        <v>45114</v>
      </c>
      <c r="N5" s="12">
        <v>179.97</v>
      </c>
    </row>
    <row r="6" spans="1:18" ht="24.9" customHeight="1" thickBot="1">
      <c r="A6" s="3" t="s">
        <v>41</v>
      </c>
      <c r="B6" s="14">
        <v>45400</v>
      </c>
      <c r="C6" s="2" t="s">
        <v>42</v>
      </c>
      <c r="D6" s="2" t="s">
        <v>43</v>
      </c>
      <c r="E6" s="2" t="s">
        <v>44</v>
      </c>
      <c r="F6" s="2" t="s">
        <v>45</v>
      </c>
      <c r="G6" s="2" t="s">
        <v>46</v>
      </c>
      <c r="H6" s="18">
        <v>5</v>
      </c>
      <c r="I6" s="10">
        <v>149.99</v>
      </c>
      <c r="J6" s="2" t="s">
        <v>26</v>
      </c>
      <c r="K6" s="2" t="s">
        <v>40</v>
      </c>
      <c r="L6" s="2" t="s">
        <v>27</v>
      </c>
      <c r="M6" s="14">
        <v>45295</v>
      </c>
      <c r="N6" s="12">
        <v>749.95</v>
      </c>
    </row>
    <row r="7" spans="1:18" ht="24.9" customHeight="1" thickBot="1">
      <c r="A7" s="3" t="s">
        <v>47</v>
      </c>
      <c r="B7" s="14">
        <v>45403</v>
      </c>
      <c r="C7" s="2" t="s">
        <v>48</v>
      </c>
      <c r="D7" s="2" t="s">
        <v>49</v>
      </c>
      <c r="E7" s="2" t="s">
        <v>31</v>
      </c>
      <c r="F7" s="2" t="s">
        <v>32</v>
      </c>
      <c r="G7" s="2" t="s">
        <v>33</v>
      </c>
      <c r="H7" s="18">
        <v>2</v>
      </c>
      <c r="I7" s="10">
        <v>59.99</v>
      </c>
      <c r="J7" s="2" t="s">
        <v>20</v>
      </c>
      <c r="K7" s="2" t="s">
        <v>50</v>
      </c>
      <c r="L7" s="2" t="s">
        <v>36</v>
      </c>
      <c r="M7" s="14">
        <v>44746</v>
      </c>
      <c r="N7" s="12">
        <v>119.98</v>
      </c>
    </row>
    <row r="8" spans="1:18" ht="24.9" customHeight="1" thickBot="1">
      <c r="A8" s="3" t="s">
        <v>51</v>
      </c>
      <c r="B8" s="14">
        <v>45403</v>
      </c>
      <c r="C8" s="2" t="s">
        <v>48</v>
      </c>
      <c r="D8" s="2" t="s">
        <v>49</v>
      </c>
      <c r="E8" s="2" t="s">
        <v>52</v>
      </c>
      <c r="F8" s="2" t="s">
        <v>53</v>
      </c>
      <c r="G8" s="2" t="s">
        <v>19</v>
      </c>
      <c r="H8" s="18">
        <v>5</v>
      </c>
      <c r="I8" s="10">
        <v>149.99</v>
      </c>
      <c r="J8" s="2" t="s">
        <v>26</v>
      </c>
      <c r="K8" s="2" t="s">
        <v>21</v>
      </c>
      <c r="L8" s="2" t="s">
        <v>36</v>
      </c>
      <c r="M8" s="14">
        <v>44418</v>
      </c>
      <c r="N8" s="12">
        <v>749.95</v>
      </c>
    </row>
    <row r="9" spans="1:18" ht="24.9" customHeight="1" thickBot="1">
      <c r="A9" s="3" t="s">
        <v>54</v>
      </c>
      <c r="B9" s="14">
        <v>45403</v>
      </c>
      <c r="C9" s="2" t="s">
        <v>55</v>
      </c>
      <c r="D9" s="2" t="s">
        <v>56</v>
      </c>
      <c r="E9" s="2" t="s">
        <v>31</v>
      </c>
      <c r="F9" s="2" t="s">
        <v>32</v>
      </c>
      <c r="G9" s="2" t="s">
        <v>33</v>
      </c>
      <c r="H9" s="18">
        <v>3</v>
      </c>
      <c r="I9" s="10">
        <v>59.99</v>
      </c>
      <c r="J9" s="2" t="s">
        <v>57</v>
      </c>
      <c r="K9" s="2" t="s">
        <v>35</v>
      </c>
      <c r="L9" s="2" t="s">
        <v>22</v>
      </c>
      <c r="M9" s="14">
        <v>45007</v>
      </c>
      <c r="N9" s="12">
        <v>179.97</v>
      </c>
    </row>
    <row r="10" spans="1:18" ht="24.9" customHeight="1" thickBot="1">
      <c r="A10" s="3" t="s">
        <v>58</v>
      </c>
      <c r="B10" s="14">
        <v>45405</v>
      </c>
      <c r="C10" s="2" t="s">
        <v>59</v>
      </c>
      <c r="D10" s="2" t="s">
        <v>60</v>
      </c>
      <c r="E10" s="2" t="s">
        <v>61</v>
      </c>
      <c r="F10" s="2" t="s">
        <v>62</v>
      </c>
      <c r="G10" s="2" t="s">
        <v>19</v>
      </c>
      <c r="H10" s="18">
        <v>3</v>
      </c>
      <c r="I10" s="10">
        <v>899.99</v>
      </c>
      <c r="J10" s="2" t="s">
        <v>34</v>
      </c>
      <c r="K10" s="2" t="s">
        <v>63</v>
      </c>
      <c r="L10" s="2" t="s">
        <v>36</v>
      </c>
      <c r="M10" s="14">
        <v>45299</v>
      </c>
      <c r="N10" s="12">
        <v>2699.97</v>
      </c>
    </row>
    <row r="11" spans="1:18" ht="24.9" customHeight="1" thickBot="1">
      <c r="A11" s="3" t="s">
        <v>64</v>
      </c>
      <c r="B11" s="14">
        <v>45408</v>
      </c>
      <c r="C11" s="2" t="s">
        <v>65</v>
      </c>
      <c r="D11" s="2" t="s">
        <v>66</v>
      </c>
      <c r="E11" s="2" t="s">
        <v>31</v>
      </c>
      <c r="F11" s="2" t="s">
        <v>32</v>
      </c>
      <c r="G11" s="2" t="s">
        <v>33</v>
      </c>
      <c r="H11" s="18">
        <v>3</v>
      </c>
      <c r="I11" s="10">
        <v>59.99</v>
      </c>
      <c r="J11" s="2" t="s">
        <v>20</v>
      </c>
      <c r="K11" s="2" t="s">
        <v>50</v>
      </c>
      <c r="L11" s="2" t="s">
        <v>27</v>
      </c>
      <c r="M11" s="14">
        <v>45207</v>
      </c>
      <c r="N11" s="12">
        <v>179.97</v>
      </c>
    </row>
    <row r="12" spans="1:18" ht="24.9" customHeight="1" thickBot="1">
      <c r="A12" s="3" t="s">
        <v>67</v>
      </c>
      <c r="B12" s="14">
        <v>45408</v>
      </c>
      <c r="C12" s="2" t="s">
        <v>68</v>
      </c>
      <c r="D12" s="2" t="s">
        <v>69</v>
      </c>
      <c r="E12" s="2" t="s">
        <v>44</v>
      </c>
      <c r="F12" s="2" t="s">
        <v>45</v>
      </c>
      <c r="G12" s="2" t="s">
        <v>46</v>
      </c>
      <c r="H12" s="18">
        <v>1</v>
      </c>
      <c r="I12" s="10">
        <v>149.99</v>
      </c>
      <c r="J12" s="2" t="s">
        <v>26</v>
      </c>
      <c r="K12" s="2" t="s">
        <v>50</v>
      </c>
      <c r="L12" s="2" t="s">
        <v>36</v>
      </c>
      <c r="M12" s="14">
        <v>45103</v>
      </c>
      <c r="N12" s="12">
        <v>149.99</v>
      </c>
    </row>
    <row r="13" spans="1:18" ht="24.9" customHeight="1" thickBot="1">
      <c r="A13" s="3" t="s">
        <v>70</v>
      </c>
      <c r="B13" s="14">
        <v>45408</v>
      </c>
      <c r="C13" s="2" t="s">
        <v>38</v>
      </c>
      <c r="D13" s="2" t="s">
        <v>39</v>
      </c>
      <c r="E13" s="2" t="s">
        <v>44</v>
      </c>
      <c r="F13" s="2" t="s">
        <v>45</v>
      </c>
      <c r="G13" s="2" t="s">
        <v>46</v>
      </c>
      <c r="H13" s="18">
        <v>5</v>
      </c>
      <c r="I13" s="10">
        <v>149.99</v>
      </c>
      <c r="J13" s="2" t="s">
        <v>57</v>
      </c>
      <c r="K13" s="2" t="s">
        <v>40</v>
      </c>
      <c r="L13" s="2" t="s">
        <v>22</v>
      </c>
      <c r="M13" s="14">
        <v>44830</v>
      </c>
      <c r="N13" s="12">
        <v>749.95</v>
      </c>
    </row>
    <row r="14" spans="1:18" ht="24.9" customHeight="1" thickBot="1">
      <c r="A14" s="3" t="s">
        <v>71</v>
      </c>
      <c r="B14" s="14">
        <v>45408</v>
      </c>
      <c r="C14" s="2" t="s">
        <v>72</v>
      </c>
      <c r="D14" s="2" t="s">
        <v>73</v>
      </c>
      <c r="E14" s="2" t="s">
        <v>44</v>
      </c>
      <c r="F14" s="2" t="s">
        <v>45</v>
      </c>
      <c r="G14" s="2" t="s">
        <v>46</v>
      </c>
      <c r="H14" s="18">
        <v>3</v>
      </c>
      <c r="I14" s="10">
        <v>149.99</v>
      </c>
      <c r="J14" s="2" t="s">
        <v>20</v>
      </c>
      <c r="K14" s="2" t="s">
        <v>40</v>
      </c>
      <c r="L14" s="2" t="s">
        <v>27</v>
      </c>
      <c r="M14" s="14">
        <v>44806</v>
      </c>
      <c r="N14" s="12">
        <v>449.97</v>
      </c>
    </row>
    <row r="15" spans="1:18" ht="24.9" customHeight="1" thickBot="1">
      <c r="A15" s="3" t="s">
        <v>74</v>
      </c>
      <c r="B15" s="14">
        <v>45409</v>
      </c>
      <c r="C15" s="2" t="s">
        <v>75</v>
      </c>
      <c r="D15" s="2" t="s">
        <v>76</v>
      </c>
      <c r="E15" s="2" t="s">
        <v>31</v>
      </c>
      <c r="F15" s="2" t="s">
        <v>32</v>
      </c>
      <c r="G15" s="2" t="s">
        <v>33</v>
      </c>
      <c r="H15" s="18">
        <v>3</v>
      </c>
      <c r="I15" s="10">
        <v>59.99</v>
      </c>
      <c r="J15" s="2" t="s">
        <v>26</v>
      </c>
      <c r="K15" s="2" t="s">
        <v>40</v>
      </c>
      <c r="L15" s="2" t="s">
        <v>36</v>
      </c>
      <c r="M15" s="14">
        <v>45351</v>
      </c>
      <c r="N15" s="12">
        <v>179.97</v>
      </c>
    </row>
    <row r="16" spans="1:18" ht="24.9" customHeight="1" thickBot="1">
      <c r="A16" s="3" t="s">
        <v>77</v>
      </c>
      <c r="B16" s="14">
        <v>45409</v>
      </c>
      <c r="C16" s="2" t="s">
        <v>78</v>
      </c>
      <c r="D16" s="2" t="s">
        <v>79</v>
      </c>
      <c r="E16" s="2" t="s">
        <v>80</v>
      </c>
      <c r="F16" s="2" t="s">
        <v>81</v>
      </c>
      <c r="G16" s="2" t="s">
        <v>19</v>
      </c>
      <c r="H16" s="18">
        <v>3</v>
      </c>
      <c r="I16" s="10">
        <v>699.99</v>
      </c>
      <c r="J16" s="2" t="s">
        <v>26</v>
      </c>
      <c r="K16" s="2" t="s">
        <v>50</v>
      </c>
      <c r="L16" s="2" t="s">
        <v>22</v>
      </c>
      <c r="M16" s="14">
        <v>44577</v>
      </c>
      <c r="N16" s="12">
        <v>2099.9699999999998</v>
      </c>
    </row>
    <row r="17" spans="1:14" ht="24.9" customHeight="1" thickBot="1">
      <c r="A17" s="3" t="s">
        <v>82</v>
      </c>
      <c r="B17" s="14">
        <v>45409</v>
      </c>
      <c r="C17" s="2" t="s">
        <v>83</v>
      </c>
      <c r="D17" s="2" t="s">
        <v>84</v>
      </c>
      <c r="E17" s="2" t="s">
        <v>61</v>
      </c>
      <c r="F17" s="2" t="s">
        <v>62</v>
      </c>
      <c r="G17" s="2" t="s">
        <v>19</v>
      </c>
      <c r="H17" s="18">
        <v>1</v>
      </c>
      <c r="I17" s="10">
        <v>899.99</v>
      </c>
      <c r="J17" s="2" t="s">
        <v>57</v>
      </c>
      <c r="K17" s="2" t="s">
        <v>40</v>
      </c>
      <c r="L17" s="2" t="s">
        <v>36</v>
      </c>
      <c r="M17" s="14">
        <v>44920</v>
      </c>
      <c r="N17" s="12">
        <v>899.99</v>
      </c>
    </row>
    <row r="18" spans="1:14" ht="24.9" customHeight="1" thickBot="1">
      <c r="A18" s="3" t="s">
        <v>85</v>
      </c>
      <c r="B18" s="14">
        <v>45410</v>
      </c>
      <c r="C18" s="2" t="s">
        <v>86</v>
      </c>
      <c r="D18" s="2" t="s">
        <v>87</v>
      </c>
      <c r="E18" s="2" t="s">
        <v>44</v>
      </c>
      <c r="F18" s="2" t="s">
        <v>45</v>
      </c>
      <c r="G18" s="2" t="s">
        <v>46</v>
      </c>
      <c r="H18" s="18">
        <v>4</v>
      </c>
      <c r="I18" s="10">
        <v>149.99</v>
      </c>
      <c r="J18" s="2" t="s">
        <v>57</v>
      </c>
      <c r="K18" s="2" t="s">
        <v>40</v>
      </c>
      <c r="L18" s="2" t="s">
        <v>27</v>
      </c>
      <c r="M18" s="14">
        <v>45374</v>
      </c>
      <c r="N18" s="12">
        <v>599.96</v>
      </c>
    </row>
    <row r="19" spans="1:14" ht="24.9" customHeight="1" thickBot="1">
      <c r="A19" s="3" t="s">
        <v>88</v>
      </c>
      <c r="B19" s="14">
        <v>45410</v>
      </c>
      <c r="C19" s="2" t="s">
        <v>89</v>
      </c>
      <c r="D19" s="2" t="s">
        <v>90</v>
      </c>
      <c r="E19" s="2" t="s">
        <v>80</v>
      </c>
      <c r="F19" s="2" t="s">
        <v>81</v>
      </c>
      <c r="G19" s="2" t="s">
        <v>19</v>
      </c>
      <c r="H19" s="18">
        <v>2</v>
      </c>
      <c r="I19" s="10">
        <v>699.99</v>
      </c>
      <c r="J19" s="2" t="s">
        <v>20</v>
      </c>
      <c r="K19" s="2" t="s">
        <v>40</v>
      </c>
      <c r="L19" s="2" t="s">
        <v>22</v>
      </c>
      <c r="M19" s="14">
        <v>44781</v>
      </c>
      <c r="N19" s="12">
        <v>1399.98</v>
      </c>
    </row>
    <row r="20" spans="1:14" ht="24.9" customHeight="1" thickBot="1">
      <c r="A20" s="3" t="s">
        <v>91</v>
      </c>
      <c r="B20" s="14">
        <v>45410</v>
      </c>
      <c r="C20" s="2" t="s">
        <v>86</v>
      </c>
      <c r="D20" s="2" t="s">
        <v>87</v>
      </c>
      <c r="E20" s="2" t="s">
        <v>61</v>
      </c>
      <c r="F20" s="2" t="s">
        <v>62</v>
      </c>
      <c r="G20" s="2" t="s">
        <v>19</v>
      </c>
      <c r="H20" s="18">
        <v>4</v>
      </c>
      <c r="I20" s="10">
        <v>899.99</v>
      </c>
      <c r="J20" s="2" t="s">
        <v>26</v>
      </c>
      <c r="K20" s="2" t="s">
        <v>50</v>
      </c>
      <c r="L20" s="2" t="s">
        <v>36</v>
      </c>
      <c r="M20" s="14">
        <v>45327</v>
      </c>
      <c r="N20" s="12">
        <v>3599.96</v>
      </c>
    </row>
    <row r="21" spans="1:14" ht="24.9" customHeight="1" thickBot="1">
      <c r="A21" s="3" t="s">
        <v>92</v>
      </c>
      <c r="B21" s="14">
        <v>45410</v>
      </c>
      <c r="C21" s="2" t="s">
        <v>93</v>
      </c>
      <c r="D21" s="2" t="s">
        <v>94</v>
      </c>
      <c r="E21" s="2" t="s">
        <v>17</v>
      </c>
      <c r="F21" s="2" t="s">
        <v>18</v>
      </c>
      <c r="G21" s="2" t="s">
        <v>19</v>
      </c>
      <c r="H21" s="18">
        <v>3</v>
      </c>
      <c r="I21" s="10">
        <v>249.99</v>
      </c>
      <c r="J21" s="2" t="s">
        <v>26</v>
      </c>
      <c r="K21" s="2" t="s">
        <v>40</v>
      </c>
      <c r="L21" s="2" t="s">
        <v>27</v>
      </c>
      <c r="M21" s="14">
        <v>45224</v>
      </c>
      <c r="N21" s="12">
        <v>749.97</v>
      </c>
    </row>
    <row r="22" spans="1:14" ht="24.9" customHeight="1" thickBot="1">
      <c r="A22" s="3" t="s">
        <v>95</v>
      </c>
      <c r="B22" s="14">
        <v>45412</v>
      </c>
      <c r="C22" s="2" t="s">
        <v>96</v>
      </c>
      <c r="D22" s="2" t="s">
        <v>97</v>
      </c>
      <c r="E22" s="2" t="s">
        <v>80</v>
      </c>
      <c r="F22" s="2" t="s">
        <v>81</v>
      </c>
      <c r="G22" s="2" t="s">
        <v>19</v>
      </c>
      <c r="H22" s="18">
        <v>5</v>
      </c>
      <c r="I22" s="10">
        <v>699.99</v>
      </c>
      <c r="J22" s="2" t="s">
        <v>20</v>
      </c>
      <c r="K22" s="2" t="s">
        <v>50</v>
      </c>
      <c r="L22" s="2" t="s">
        <v>22</v>
      </c>
      <c r="M22" s="14">
        <v>45167</v>
      </c>
      <c r="N22" s="12">
        <v>3499.95</v>
      </c>
    </row>
    <row r="23" spans="1:14" ht="24.9" customHeight="1" thickBot="1">
      <c r="A23" s="3" t="s">
        <v>98</v>
      </c>
      <c r="B23" s="14">
        <v>45413</v>
      </c>
      <c r="C23" s="2" t="s">
        <v>99</v>
      </c>
      <c r="D23" s="2" t="s">
        <v>100</v>
      </c>
      <c r="E23" s="2" t="s">
        <v>80</v>
      </c>
      <c r="F23" s="2" t="s">
        <v>81</v>
      </c>
      <c r="G23" s="2" t="s">
        <v>19</v>
      </c>
      <c r="H23" s="18">
        <v>4</v>
      </c>
      <c r="I23" s="10">
        <v>699.99</v>
      </c>
      <c r="J23" s="2" t="s">
        <v>20</v>
      </c>
      <c r="K23" s="2" t="s">
        <v>63</v>
      </c>
      <c r="L23" s="2" t="s">
        <v>36</v>
      </c>
      <c r="M23" s="14">
        <v>44409</v>
      </c>
      <c r="N23" s="12">
        <v>2799.96</v>
      </c>
    </row>
    <row r="24" spans="1:14" ht="24.9" customHeight="1" thickBot="1">
      <c r="A24" s="3" t="s">
        <v>101</v>
      </c>
      <c r="B24" s="14">
        <v>45415</v>
      </c>
      <c r="C24" s="2" t="s">
        <v>102</v>
      </c>
      <c r="D24" s="2" t="s">
        <v>103</v>
      </c>
      <c r="E24" s="2" t="s">
        <v>17</v>
      </c>
      <c r="F24" s="2" t="s">
        <v>18</v>
      </c>
      <c r="G24" s="2" t="s">
        <v>19</v>
      </c>
      <c r="H24" s="18">
        <v>4</v>
      </c>
      <c r="I24" s="10">
        <v>249.99</v>
      </c>
      <c r="J24" s="2" t="s">
        <v>34</v>
      </c>
      <c r="K24" s="2" t="s">
        <v>40</v>
      </c>
      <c r="L24" s="2" t="s">
        <v>36</v>
      </c>
      <c r="M24" s="14">
        <v>44468</v>
      </c>
      <c r="N24" s="12">
        <v>999.96</v>
      </c>
    </row>
    <row r="25" spans="1:14" ht="24.9" customHeight="1" thickBot="1">
      <c r="A25" s="3" t="s">
        <v>104</v>
      </c>
      <c r="B25" s="14">
        <v>45416</v>
      </c>
      <c r="C25" s="2" t="s">
        <v>86</v>
      </c>
      <c r="D25" s="2" t="s">
        <v>87</v>
      </c>
      <c r="E25" s="2" t="s">
        <v>105</v>
      </c>
      <c r="F25" s="2" t="s">
        <v>106</v>
      </c>
      <c r="G25" s="2" t="s">
        <v>46</v>
      </c>
      <c r="H25" s="18">
        <v>4</v>
      </c>
      <c r="I25" s="10">
        <v>299.99</v>
      </c>
      <c r="J25" s="2" t="s">
        <v>20</v>
      </c>
      <c r="K25" s="2" t="s">
        <v>50</v>
      </c>
      <c r="L25" s="2" t="s">
        <v>27</v>
      </c>
      <c r="M25" s="14">
        <v>44716</v>
      </c>
      <c r="N25" s="12">
        <v>1199.96</v>
      </c>
    </row>
    <row r="26" spans="1:14" ht="24.9" customHeight="1" thickBot="1">
      <c r="A26" s="3" t="s">
        <v>107</v>
      </c>
      <c r="B26" s="14">
        <v>45422</v>
      </c>
      <c r="C26" s="2" t="s">
        <v>108</v>
      </c>
      <c r="D26" s="2" t="s">
        <v>109</v>
      </c>
      <c r="E26" s="2" t="s">
        <v>17</v>
      </c>
      <c r="F26" s="2" t="s">
        <v>18</v>
      </c>
      <c r="G26" s="2" t="s">
        <v>19</v>
      </c>
      <c r="H26" s="18">
        <v>5</v>
      </c>
      <c r="I26" s="10">
        <v>249.99</v>
      </c>
      <c r="J26" s="2" t="s">
        <v>26</v>
      </c>
      <c r="K26" s="2" t="s">
        <v>50</v>
      </c>
      <c r="L26" s="2" t="s">
        <v>36</v>
      </c>
      <c r="M26" s="14">
        <v>44525</v>
      </c>
      <c r="N26" s="12">
        <v>1249.95</v>
      </c>
    </row>
    <row r="27" spans="1:14" ht="24.9" customHeight="1" thickBot="1">
      <c r="A27" s="3" t="s">
        <v>110</v>
      </c>
      <c r="B27" s="14">
        <v>45424</v>
      </c>
      <c r="C27" s="2" t="s">
        <v>68</v>
      </c>
      <c r="D27" s="2" t="s">
        <v>69</v>
      </c>
      <c r="E27" s="2" t="s">
        <v>105</v>
      </c>
      <c r="F27" s="2" t="s">
        <v>106</v>
      </c>
      <c r="G27" s="2" t="s">
        <v>46</v>
      </c>
      <c r="H27" s="18">
        <v>5</v>
      </c>
      <c r="I27" s="10">
        <v>299.99</v>
      </c>
      <c r="J27" s="2" t="s">
        <v>34</v>
      </c>
      <c r="K27" s="2" t="s">
        <v>63</v>
      </c>
      <c r="L27" s="2" t="s">
        <v>22</v>
      </c>
      <c r="M27" s="14">
        <v>45168</v>
      </c>
      <c r="N27" s="12">
        <v>1499.95</v>
      </c>
    </row>
    <row r="28" spans="1:14" ht="24.9" customHeight="1" thickBot="1">
      <c r="A28" s="3" t="s">
        <v>111</v>
      </c>
      <c r="B28" s="14">
        <v>45424</v>
      </c>
      <c r="C28" s="2" t="s">
        <v>112</v>
      </c>
      <c r="D28" s="2" t="s">
        <v>113</v>
      </c>
      <c r="E28" s="2" t="s">
        <v>114</v>
      </c>
      <c r="F28" s="2" t="s">
        <v>115</v>
      </c>
      <c r="G28" s="2" t="s">
        <v>33</v>
      </c>
      <c r="H28" s="18">
        <v>3</v>
      </c>
      <c r="I28" s="10">
        <v>79.989999999999995</v>
      </c>
      <c r="J28" s="2" t="s">
        <v>34</v>
      </c>
      <c r="K28" s="2" t="s">
        <v>63</v>
      </c>
      <c r="L28" s="2" t="s">
        <v>27</v>
      </c>
      <c r="M28" s="14">
        <v>45012</v>
      </c>
      <c r="N28" s="12">
        <v>239.97</v>
      </c>
    </row>
    <row r="29" spans="1:14" ht="24.9" customHeight="1" thickBot="1">
      <c r="A29" s="3" t="s">
        <v>116</v>
      </c>
      <c r="B29" s="14">
        <v>45424</v>
      </c>
      <c r="C29" s="2" t="s">
        <v>99</v>
      </c>
      <c r="D29" s="2" t="s">
        <v>100</v>
      </c>
      <c r="E29" s="2" t="s">
        <v>117</v>
      </c>
      <c r="F29" s="2" t="s">
        <v>118</v>
      </c>
      <c r="G29" s="2" t="s">
        <v>19</v>
      </c>
      <c r="H29" s="18">
        <v>5</v>
      </c>
      <c r="I29" s="10">
        <v>89.99</v>
      </c>
      <c r="J29" s="2" t="s">
        <v>20</v>
      </c>
      <c r="K29" s="2" t="s">
        <v>40</v>
      </c>
      <c r="L29" s="2" t="s">
        <v>27</v>
      </c>
      <c r="M29" s="14">
        <v>44919</v>
      </c>
      <c r="N29" s="12">
        <v>449.95</v>
      </c>
    </row>
    <row r="30" spans="1:14" ht="24.9" customHeight="1" thickBot="1">
      <c r="A30" s="3" t="s">
        <v>119</v>
      </c>
      <c r="B30" s="14">
        <v>45425</v>
      </c>
      <c r="C30" s="2" t="s">
        <v>120</v>
      </c>
      <c r="D30" s="2" t="s">
        <v>121</v>
      </c>
      <c r="E30" s="2" t="s">
        <v>31</v>
      </c>
      <c r="F30" s="2" t="s">
        <v>32</v>
      </c>
      <c r="G30" s="2" t="s">
        <v>33</v>
      </c>
      <c r="H30" s="18">
        <v>2</v>
      </c>
      <c r="I30" s="10">
        <v>59.99</v>
      </c>
      <c r="J30" s="2" t="s">
        <v>57</v>
      </c>
      <c r="K30" s="2" t="s">
        <v>21</v>
      </c>
      <c r="L30" s="2" t="s">
        <v>36</v>
      </c>
      <c r="M30" s="14">
        <v>45214</v>
      </c>
      <c r="N30" s="12">
        <v>119.98</v>
      </c>
    </row>
    <row r="31" spans="1:14" ht="24.9" customHeight="1" thickBot="1">
      <c r="A31" s="3" t="s">
        <v>122</v>
      </c>
      <c r="B31" s="14">
        <v>45427</v>
      </c>
      <c r="C31" s="2" t="s">
        <v>123</v>
      </c>
      <c r="D31" s="2" t="s">
        <v>124</v>
      </c>
      <c r="E31" s="2" t="s">
        <v>31</v>
      </c>
      <c r="F31" s="2" t="s">
        <v>32</v>
      </c>
      <c r="G31" s="2" t="s">
        <v>33</v>
      </c>
      <c r="H31" s="18">
        <v>4</v>
      </c>
      <c r="I31" s="10">
        <v>59.99</v>
      </c>
      <c r="J31" s="2" t="s">
        <v>57</v>
      </c>
      <c r="K31" s="2" t="s">
        <v>63</v>
      </c>
      <c r="L31" s="2" t="s">
        <v>36</v>
      </c>
      <c r="M31" s="14">
        <v>44867</v>
      </c>
      <c r="N31" s="12">
        <v>239.96</v>
      </c>
    </row>
    <row r="32" spans="1:14" ht="24.9" customHeight="1" thickBot="1">
      <c r="A32" s="3" t="s">
        <v>125</v>
      </c>
      <c r="B32" s="14">
        <v>45427</v>
      </c>
      <c r="C32" s="2" t="s">
        <v>55</v>
      </c>
      <c r="D32" s="2" t="s">
        <v>56</v>
      </c>
      <c r="E32" s="2" t="s">
        <v>126</v>
      </c>
      <c r="F32" s="2" t="s">
        <v>127</v>
      </c>
      <c r="G32" s="2" t="s">
        <v>46</v>
      </c>
      <c r="H32" s="18">
        <v>5</v>
      </c>
      <c r="I32" s="10">
        <v>199.99</v>
      </c>
      <c r="J32" s="2" t="s">
        <v>20</v>
      </c>
      <c r="K32" s="2" t="s">
        <v>35</v>
      </c>
      <c r="L32" s="2" t="s">
        <v>36</v>
      </c>
      <c r="M32" s="14">
        <v>44412</v>
      </c>
      <c r="N32" s="12">
        <v>999.95</v>
      </c>
    </row>
    <row r="33" spans="1:14" ht="24.9" customHeight="1" thickBot="1">
      <c r="A33" s="3" t="s">
        <v>128</v>
      </c>
      <c r="B33" s="14">
        <v>45428</v>
      </c>
      <c r="C33" s="2" t="s">
        <v>129</v>
      </c>
      <c r="D33" s="2" t="s">
        <v>130</v>
      </c>
      <c r="E33" s="2" t="s">
        <v>44</v>
      </c>
      <c r="F33" s="2" t="s">
        <v>45</v>
      </c>
      <c r="G33" s="2" t="s">
        <v>46</v>
      </c>
      <c r="H33" s="18">
        <v>2</v>
      </c>
      <c r="I33" s="10">
        <v>149.99</v>
      </c>
      <c r="J33" s="2" t="s">
        <v>26</v>
      </c>
      <c r="K33" s="2" t="s">
        <v>50</v>
      </c>
      <c r="L33" s="2" t="s">
        <v>22</v>
      </c>
      <c r="M33" s="14">
        <v>44823</v>
      </c>
      <c r="N33" s="12">
        <v>299.98</v>
      </c>
    </row>
    <row r="34" spans="1:14" ht="24.9" customHeight="1" thickBot="1">
      <c r="A34" s="3" t="s">
        <v>131</v>
      </c>
      <c r="B34" s="14">
        <v>45430</v>
      </c>
      <c r="C34" s="2" t="s">
        <v>132</v>
      </c>
      <c r="D34" s="2" t="s">
        <v>133</v>
      </c>
      <c r="E34" s="2" t="s">
        <v>44</v>
      </c>
      <c r="F34" s="2" t="s">
        <v>45</v>
      </c>
      <c r="G34" s="2" t="s">
        <v>46</v>
      </c>
      <c r="H34" s="18">
        <v>3</v>
      </c>
      <c r="I34" s="10">
        <v>149.99</v>
      </c>
      <c r="J34" s="2" t="s">
        <v>26</v>
      </c>
      <c r="K34" s="2" t="s">
        <v>50</v>
      </c>
      <c r="L34" s="2" t="s">
        <v>27</v>
      </c>
      <c r="M34" s="14">
        <v>45068</v>
      </c>
      <c r="N34" s="12">
        <v>449.97</v>
      </c>
    </row>
    <row r="35" spans="1:14" ht="24.9" customHeight="1" thickBot="1">
      <c r="A35" s="3" t="s">
        <v>134</v>
      </c>
      <c r="B35" s="14">
        <v>45432</v>
      </c>
      <c r="C35" s="2" t="s">
        <v>29</v>
      </c>
      <c r="D35" s="2" t="s">
        <v>30</v>
      </c>
      <c r="E35" s="2" t="s">
        <v>61</v>
      </c>
      <c r="F35" s="2" t="s">
        <v>62</v>
      </c>
      <c r="G35" s="2" t="s">
        <v>19</v>
      </c>
      <c r="H35" s="18">
        <v>1</v>
      </c>
      <c r="I35" s="10">
        <v>899.99</v>
      </c>
      <c r="J35" s="2" t="s">
        <v>26</v>
      </c>
      <c r="K35" s="2" t="s">
        <v>50</v>
      </c>
      <c r="L35" s="2" t="s">
        <v>27</v>
      </c>
      <c r="M35" s="14">
        <v>44578</v>
      </c>
      <c r="N35" s="12">
        <v>899.99</v>
      </c>
    </row>
    <row r="36" spans="1:14" ht="24.9" customHeight="1" thickBot="1">
      <c r="A36" s="3" t="s">
        <v>135</v>
      </c>
      <c r="B36" s="14">
        <v>45434</v>
      </c>
      <c r="C36" s="2" t="s">
        <v>99</v>
      </c>
      <c r="D36" s="2" t="s">
        <v>100</v>
      </c>
      <c r="E36" s="2" t="s">
        <v>105</v>
      </c>
      <c r="F36" s="2" t="s">
        <v>106</v>
      </c>
      <c r="G36" s="2" t="s">
        <v>46</v>
      </c>
      <c r="H36" s="18">
        <v>3</v>
      </c>
      <c r="I36" s="10">
        <v>299.99</v>
      </c>
      <c r="J36" s="2" t="s">
        <v>26</v>
      </c>
      <c r="K36" s="2" t="s">
        <v>63</v>
      </c>
      <c r="L36" s="2" t="s">
        <v>22</v>
      </c>
      <c r="M36" s="14">
        <v>44824</v>
      </c>
      <c r="N36" s="12">
        <v>899.97</v>
      </c>
    </row>
    <row r="37" spans="1:14" ht="24.9" customHeight="1" thickBot="1">
      <c r="A37" s="3" t="s">
        <v>136</v>
      </c>
      <c r="B37" s="14">
        <v>45435</v>
      </c>
      <c r="C37" s="2" t="s">
        <v>129</v>
      </c>
      <c r="D37" s="2" t="s">
        <v>130</v>
      </c>
      <c r="E37" s="2" t="s">
        <v>114</v>
      </c>
      <c r="F37" s="2" t="s">
        <v>115</v>
      </c>
      <c r="G37" s="2" t="s">
        <v>33</v>
      </c>
      <c r="H37" s="18">
        <v>3</v>
      </c>
      <c r="I37" s="10">
        <v>79.989999999999995</v>
      </c>
      <c r="J37" s="2" t="s">
        <v>20</v>
      </c>
      <c r="K37" s="2" t="s">
        <v>35</v>
      </c>
      <c r="L37" s="2" t="s">
        <v>22</v>
      </c>
      <c r="M37" s="14">
        <v>45046</v>
      </c>
      <c r="N37" s="12">
        <v>239.97</v>
      </c>
    </row>
    <row r="38" spans="1:14" ht="24.9" customHeight="1" thickBot="1">
      <c r="A38" s="3" t="s">
        <v>137</v>
      </c>
      <c r="B38" s="14">
        <v>45438</v>
      </c>
      <c r="C38" s="2" t="s">
        <v>138</v>
      </c>
      <c r="D38" s="2" t="s">
        <v>139</v>
      </c>
      <c r="E38" s="2" t="s">
        <v>126</v>
      </c>
      <c r="F38" s="2" t="s">
        <v>127</v>
      </c>
      <c r="G38" s="2" t="s">
        <v>46</v>
      </c>
      <c r="H38" s="18">
        <v>3</v>
      </c>
      <c r="I38" s="10">
        <v>199.99</v>
      </c>
      <c r="J38" s="2" t="s">
        <v>26</v>
      </c>
      <c r="K38" s="2" t="s">
        <v>40</v>
      </c>
      <c r="L38" s="2" t="s">
        <v>27</v>
      </c>
      <c r="M38" s="14">
        <v>45292</v>
      </c>
      <c r="N38" s="12">
        <v>599.97</v>
      </c>
    </row>
    <row r="39" spans="1:14" ht="24.9" customHeight="1" thickBot="1">
      <c r="A39" s="3" t="s">
        <v>140</v>
      </c>
      <c r="B39" s="14">
        <v>45440</v>
      </c>
      <c r="C39" s="2" t="s">
        <v>141</v>
      </c>
      <c r="D39" s="2" t="s">
        <v>142</v>
      </c>
      <c r="E39" s="2" t="s">
        <v>80</v>
      </c>
      <c r="F39" s="2" t="s">
        <v>81</v>
      </c>
      <c r="G39" s="2" t="s">
        <v>19</v>
      </c>
      <c r="H39" s="18">
        <v>5</v>
      </c>
      <c r="I39" s="10">
        <v>699.99</v>
      </c>
      <c r="J39" s="2" t="s">
        <v>34</v>
      </c>
      <c r="K39" s="2" t="s">
        <v>50</v>
      </c>
      <c r="L39" s="2" t="s">
        <v>36</v>
      </c>
      <c r="M39" s="14">
        <v>44407</v>
      </c>
      <c r="N39" s="12">
        <v>3499.95</v>
      </c>
    </row>
    <row r="40" spans="1:14" ht="24.9" customHeight="1" thickBot="1">
      <c r="A40" s="3" t="s">
        <v>143</v>
      </c>
      <c r="B40" s="14">
        <v>45441</v>
      </c>
      <c r="C40" s="2" t="s">
        <v>144</v>
      </c>
      <c r="D40" s="2" t="s">
        <v>145</v>
      </c>
      <c r="E40" s="2" t="s">
        <v>117</v>
      </c>
      <c r="F40" s="2" t="s">
        <v>118</v>
      </c>
      <c r="G40" s="2" t="s">
        <v>19</v>
      </c>
      <c r="H40" s="18">
        <v>3</v>
      </c>
      <c r="I40" s="10">
        <v>89.99</v>
      </c>
      <c r="J40" s="2" t="s">
        <v>34</v>
      </c>
      <c r="K40" s="2" t="s">
        <v>21</v>
      </c>
      <c r="L40" s="2" t="s">
        <v>27</v>
      </c>
      <c r="M40" s="14">
        <v>45120</v>
      </c>
      <c r="N40" s="12">
        <v>269.97000000000003</v>
      </c>
    </row>
    <row r="41" spans="1:14" ht="24.9" customHeight="1" thickBot="1">
      <c r="A41" s="3" t="s">
        <v>146</v>
      </c>
      <c r="B41" s="14">
        <v>45443</v>
      </c>
      <c r="C41" s="2" t="s">
        <v>147</v>
      </c>
      <c r="D41" s="2" t="s">
        <v>148</v>
      </c>
      <c r="E41" s="2" t="s">
        <v>114</v>
      </c>
      <c r="F41" s="2" t="s">
        <v>115</v>
      </c>
      <c r="G41" s="2" t="s">
        <v>33</v>
      </c>
      <c r="H41" s="18">
        <v>1</v>
      </c>
      <c r="I41" s="10">
        <v>79.989999999999995</v>
      </c>
      <c r="J41" s="2" t="s">
        <v>20</v>
      </c>
      <c r="K41" s="2" t="s">
        <v>40</v>
      </c>
      <c r="L41" s="2" t="s">
        <v>36</v>
      </c>
      <c r="M41" s="14">
        <v>44917</v>
      </c>
      <c r="N41" s="12">
        <v>79.989999999999995</v>
      </c>
    </row>
    <row r="42" spans="1:14" ht="24.9" customHeight="1" thickBot="1">
      <c r="A42" s="3" t="s">
        <v>149</v>
      </c>
      <c r="B42" s="14">
        <v>45444</v>
      </c>
      <c r="C42" s="2" t="s">
        <v>150</v>
      </c>
      <c r="D42" s="2" t="s">
        <v>151</v>
      </c>
      <c r="E42" s="2" t="s">
        <v>31</v>
      </c>
      <c r="F42" s="2" t="s">
        <v>32</v>
      </c>
      <c r="G42" s="2" t="s">
        <v>33</v>
      </c>
      <c r="H42" s="18">
        <v>2</v>
      </c>
      <c r="I42" s="10">
        <v>59.99</v>
      </c>
      <c r="J42" s="2" t="s">
        <v>20</v>
      </c>
      <c r="K42" s="2" t="s">
        <v>50</v>
      </c>
      <c r="L42" s="2" t="s">
        <v>22</v>
      </c>
      <c r="M42" s="14">
        <v>45390</v>
      </c>
      <c r="N42" s="12">
        <v>119.98</v>
      </c>
    </row>
    <row r="43" spans="1:14" ht="24.9" customHeight="1" thickBot="1">
      <c r="A43" s="3" t="s">
        <v>152</v>
      </c>
      <c r="B43" s="14">
        <v>45444</v>
      </c>
      <c r="C43" s="2" t="s">
        <v>55</v>
      </c>
      <c r="D43" s="2" t="s">
        <v>56</v>
      </c>
      <c r="E43" s="2" t="s">
        <v>117</v>
      </c>
      <c r="F43" s="2" t="s">
        <v>118</v>
      </c>
      <c r="G43" s="2" t="s">
        <v>19</v>
      </c>
      <c r="H43" s="18">
        <v>1</v>
      </c>
      <c r="I43" s="10">
        <v>89.99</v>
      </c>
      <c r="J43" s="2" t="s">
        <v>20</v>
      </c>
      <c r="K43" s="2" t="s">
        <v>40</v>
      </c>
      <c r="L43" s="2" t="s">
        <v>22</v>
      </c>
      <c r="M43" s="14">
        <v>45141</v>
      </c>
      <c r="N43" s="12">
        <v>89.99</v>
      </c>
    </row>
    <row r="44" spans="1:14" ht="24.9" customHeight="1" thickBot="1">
      <c r="A44" s="3" t="s">
        <v>153</v>
      </c>
      <c r="B44" s="14">
        <v>45446</v>
      </c>
      <c r="C44" s="2" t="s">
        <v>154</v>
      </c>
      <c r="D44" s="2" t="s">
        <v>155</v>
      </c>
      <c r="E44" s="2" t="s">
        <v>117</v>
      </c>
      <c r="F44" s="2" t="s">
        <v>118</v>
      </c>
      <c r="G44" s="2" t="s">
        <v>19</v>
      </c>
      <c r="H44" s="18">
        <v>5</v>
      </c>
      <c r="I44" s="10">
        <v>89.99</v>
      </c>
      <c r="J44" s="2" t="s">
        <v>26</v>
      </c>
      <c r="K44" s="2" t="s">
        <v>63</v>
      </c>
      <c r="L44" s="2" t="s">
        <v>36</v>
      </c>
      <c r="M44" s="14">
        <v>44587</v>
      </c>
      <c r="N44" s="12">
        <v>449.95</v>
      </c>
    </row>
    <row r="45" spans="1:14" ht="24.9" customHeight="1" thickBot="1">
      <c r="A45" s="3" t="s">
        <v>156</v>
      </c>
      <c r="B45" s="14">
        <v>45449</v>
      </c>
      <c r="C45" s="2" t="s">
        <v>24</v>
      </c>
      <c r="D45" s="2" t="s">
        <v>25</v>
      </c>
      <c r="E45" s="2" t="s">
        <v>17</v>
      </c>
      <c r="F45" s="2" t="s">
        <v>18</v>
      </c>
      <c r="G45" s="2" t="s">
        <v>19</v>
      </c>
      <c r="H45" s="18">
        <v>5</v>
      </c>
      <c r="I45" s="10">
        <v>249.99</v>
      </c>
      <c r="J45" s="2" t="s">
        <v>26</v>
      </c>
      <c r="K45" s="2" t="s">
        <v>63</v>
      </c>
      <c r="L45" s="2" t="s">
        <v>36</v>
      </c>
      <c r="M45" s="14">
        <v>44707</v>
      </c>
      <c r="N45" s="12">
        <v>1249.95</v>
      </c>
    </row>
    <row r="46" spans="1:14" ht="24.9" customHeight="1" thickBot="1">
      <c r="A46" s="3" t="s">
        <v>157</v>
      </c>
      <c r="B46" s="14">
        <v>45449</v>
      </c>
      <c r="C46" s="2" t="s">
        <v>158</v>
      </c>
      <c r="D46" s="2" t="s">
        <v>159</v>
      </c>
      <c r="E46" s="2" t="s">
        <v>117</v>
      </c>
      <c r="F46" s="2" t="s">
        <v>118</v>
      </c>
      <c r="G46" s="2" t="s">
        <v>19</v>
      </c>
      <c r="H46" s="18">
        <v>1</v>
      </c>
      <c r="I46" s="10">
        <v>89.99</v>
      </c>
      <c r="J46" s="2" t="s">
        <v>26</v>
      </c>
      <c r="K46" s="2" t="s">
        <v>35</v>
      </c>
      <c r="L46" s="2" t="s">
        <v>36</v>
      </c>
      <c r="M46" s="14">
        <v>44582</v>
      </c>
      <c r="N46" s="12">
        <v>89.99</v>
      </c>
    </row>
    <row r="47" spans="1:14" ht="24.9" customHeight="1" thickBot="1">
      <c r="A47" s="3" t="s">
        <v>160</v>
      </c>
      <c r="B47" s="14">
        <v>45450</v>
      </c>
      <c r="C47" s="2" t="s">
        <v>42</v>
      </c>
      <c r="D47" s="2" t="s">
        <v>43</v>
      </c>
      <c r="E47" s="2" t="s">
        <v>44</v>
      </c>
      <c r="F47" s="2" t="s">
        <v>45</v>
      </c>
      <c r="G47" s="2" t="s">
        <v>46</v>
      </c>
      <c r="H47" s="18">
        <v>2</v>
      </c>
      <c r="I47" s="10">
        <v>149.99</v>
      </c>
      <c r="J47" s="2" t="s">
        <v>20</v>
      </c>
      <c r="K47" s="2" t="s">
        <v>63</v>
      </c>
      <c r="L47" s="2" t="s">
        <v>27</v>
      </c>
      <c r="M47" s="14">
        <v>44645</v>
      </c>
      <c r="N47" s="12">
        <v>299.98</v>
      </c>
    </row>
    <row r="48" spans="1:14" ht="24.9" customHeight="1" thickBot="1">
      <c r="A48" s="3" t="s">
        <v>161</v>
      </c>
      <c r="B48" s="14">
        <v>45452</v>
      </c>
      <c r="C48" s="2" t="s">
        <v>162</v>
      </c>
      <c r="D48" s="2" t="s">
        <v>163</v>
      </c>
      <c r="E48" s="2" t="s">
        <v>31</v>
      </c>
      <c r="F48" s="2" t="s">
        <v>32</v>
      </c>
      <c r="G48" s="2" t="s">
        <v>33</v>
      </c>
      <c r="H48" s="18">
        <v>4</v>
      </c>
      <c r="I48" s="10">
        <v>59.99</v>
      </c>
      <c r="J48" s="2" t="s">
        <v>20</v>
      </c>
      <c r="K48" s="2" t="s">
        <v>63</v>
      </c>
      <c r="L48" s="2" t="s">
        <v>36</v>
      </c>
      <c r="M48" s="14">
        <v>44435</v>
      </c>
      <c r="N48" s="12">
        <v>239.96</v>
      </c>
    </row>
    <row r="49" spans="1:14" ht="24.9" customHeight="1" thickBot="1">
      <c r="A49" s="3" t="s">
        <v>164</v>
      </c>
      <c r="B49" s="14">
        <v>45456</v>
      </c>
      <c r="C49" s="2" t="s">
        <v>129</v>
      </c>
      <c r="D49" s="2" t="s">
        <v>130</v>
      </c>
      <c r="E49" s="2" t="s">
        <v>117</v>
      </c>
      <c r="F49" s="2" t="s">
        <v>118</v>
      </c>
      <c r="G49" s="2" t="s">
        <v>19</v>
      </c>
      <c r="H49" s="18">
        <v>5</v>
      </c>
      <c r="I49" s="10">
        <v>89.99</v>
      </c>
      <c r="J49" s="2" t="s">
        <v>20</v>
      </c>
      <c r="K49" s="2" t="s">
        <v>21</v>
      </c>
      <c r="L49" s="2" t="s">
        <v>27</v>
      </c>
      <c r="M49" s="14">
        <v>44579</v>
      </c>
      <c r="N49" s="12">
        <v>449.95</v>
      </c>
    </row>
    <row r="50" spans="1:14" ht="24.9" customHeight="1" thickBot="1">
      <c r="A50" s="3" t="s">
        <v>165</v>
      </c>
      <c r="B50" s="14">
        <v>45459</v>
      </c>
      <c r="C50" s="2" t="s">
        <v>99</v>
      </c>
      <c r="D50" s="2" t="s">
        <v>100</v>
      </c>
      <c r="E50" s="2" t="s">
        <v>117</v>
      </c>
      <c r="F50" s="2" t="s">
        <v>118</v>
      </c>
      <c r="G50" s="2" t="s">
        <v>19</v>
      </c>
      <c r="H50" s="18">
        <v>2</v>
      </c>
      <c r="I50" s="10">
        <v>89.99</v>
      </c>
      <c r="J50" s="2" t="s">
        <v>26</v>
      </c>
      <c r="K50" s="2" t="s">
        <v>35</v>
      </c>
      <c r="L50" s="2" t="s">
        <v>27</v>
      </c>
      <c r="M50" s="14">
        <v>44471</v>
      </c>
      <c r="N50" s="12">
        <v>179.98</v>
      </c>
    </row>
    <row r="51" spans="1:14" ht="24.9" customHeight="1" thickBot="1">
      <c r="A51" s="3" t="s">
        <v>166</v>
      </c>
      <c r="B51" s="14">
        <v>45459</v>
      </c>
      <c r="C51" s="2" t="s">
        <v>15</v>
      </c>
      <c r="D51" s="2" t="s">
        <v>16</v>
      </c>
      <c r="E51" s="2" t="s">
        <v>61</v>
      </c>
      <c r="F51" s="2" t="s">
        <v>62</v>
      </c>
      <c r="G51" s="2" t="s">
        <v>19</v>
      </c>
      <c r="H51" s="18">
        <v>5</v>
      </c>
      <c r="I51" s="10">
        <v>899.99</v>
      </c>
      <c r="J51" s="2" t="s">
        <v>26</v>
      </c>
      <c r="K51" s="2" t="s">
        <v>35</v>
      </c>
      <c r="L51" s="2" t="s">
        <v>36</v>
      </c>
      <c r="M51" s="14">
        <v>44974</v>
      </c>
      <c r="N51" s="12">
        <v>4499.95</v>
      </c>
    </row>
    <row r="52" spans="1:14" ht="24.9" customHeight="1" thickBot="1">
      <c r="A52" s="3" t="s">
        <v>167</v>
      </c>
      <c r="B52" s="14">
        <v>45459</v>
      </c>
      <c r="C52" s="2" t="s">
        <v>123</v>
      </c>
      <c r="D52" s="2" t="s">
        <v>124</v>
      </c>
      <c r="E52" s="2" t="s">
        <v>61</v>
      </c>
      <c r="F52" s="2" t="s">
        <v>62</v>
      </c>
      <c r="G52" s="2" t="s">
        <v>19</v>
      </c>
      <c r="H52" s="18">
        <v>5</v>
      </c>
      <c r="I52" s="10">
        <v>899.99</v>
      </c>
      <c r="J52" s="2" t="s">
        <v>34</v>
      </c>
      <c r="K52" s="2" t="s">
        <v>63</v>
      </c>
      <c r="L52" s="2" t="s">
        <v>27</v>
      </c>
      <c r="M52" s="14">
        <v>45278</v>
      </c>
      <c r="N52" s="12">
        <v>4499.95</v>
      </c>
    </row>
    <row r="53" spans="1:14" ht="24.9" customHeight="1" thickBot="1">
      <c r="A53" s="3" t="s">
        <v>168</v>
      </c>
      <c r="B53" s="14">
        <v>45460</v>
      </c>
      <c r="C53" s="2" t="s">
        <v>158</v>
      </c>
      <c r="D53" s="2" t="s">
        <v>159</v>
      </c>
      <c r="E53" s="2" t="s">
        <v>31</v>
      </c>
      <c r="F53" s="2" t="s">
        <v>32</v>
      </c>
      <c r="G53" s="2" t="s">
        <v>33</v>
      </c>
      <c r="H53" s="18">
        <v>1</v>
      </c>
      <c r="I53" s="10">
        <v>59.99</v>
      </c>
      <c r="J53" s="2" t="s">
        <v>57</v>
      </c>
      <c r="K53" s="2" t="s">
        <v>50</v>
      </c>
      <c r="L53" s="2" t="s">
        <v>27</v>
      </c>
      <c r="M53" s="14">
        <v>45190</v>
      </c>
      <c r="N53" s="12">
        <v>59.99</v>
      </c>
    </row>
    <row r="54" spans="1:14" ht="24.9" customHeight="1" thickBot="1">
      <c r="A54" s="3" t="s">
        <v>169</v>
      </c>
      <c r="B54" s="14">
        <v>45460</v>
      </c>
      <c r="C54" s="2" t="s">
        <v>141</v>
      </c>
      <c r="D54" s="2" t="s">
        <v>142</v>
      </c>
      <c r="E54" s="2" t="s">
        <v>105</v>
      </c>
      <c r="F54" s="2" t="s">
        <v>106</v>
      </c>
      <c r="G54" s="2" t="s">
        <v>46</v>
      </c>
      <c r="H54" s="18">
        <v>2</v>
      </c>
      <c r="I54" s="10">
        <v>299.99</v>
      </c>
      <c r="J54" s="2" t="s">
        <v>57</v>
      </c>
      <c r="K54" s="2" t="s">
        <v>63</v>
      </c>
      <c r="L54" s="2" t="s">
        <v>36</v>
      </c>
      <c r="M54" s="14">
        <v>45253</v>
      </c>
      <c r="N54" s="12">
        <v>599.98</v>
      </c>
    </row>
    <row r="55" spans="1:14" ht="24.9" customHeight="1" thickBot="1">
      <c r="A55" s="3" t="s">
        <v>170</v>
      </c>
      <c r="B55" s="14">
        <v>45468</v>
      </c>
      <c r="C55" s="2" t="s">
        <v>171</v>
      </c>
      <c r="D55" s="2" t="s">
        <v>172</v>
      </c>
      <c r="E55" s="2" t="s">
        <v>117</v>
      </c>
      <c r="F55" s="2" t="s">
        <v>118</v>
      </c>
      <c r="G55" s="2" t="s">
        <v>19</v>
      </c>
      <c r="H55" s="18">
        <v>4</v>
      </c>
      <c r="I55" s="10">
        <v>89.99</v>
      </c>
      <c r="J55" s="2" t="s">
        <v>57</v>
      </c>
      <c r="K55" s="2" t="s">
        <v>35</v>
      </c>
      <c r="L55" s="2" t="s">
        <v>22</v>
      </c>
      <c r="M55" s="14">
        <v>45281</v>
      </c>
      <c r="N55" s="12">
        <v>359.96</v>
      </c>
    </row>
    <row r="56" spans="1:14" ht="24.9" customHeight="1" thickBot="1">
      <c r="A56" s="3" t="s">
        <v>173</v>
      </c>
      <c r="B56" s="14">
        <v>45469</v>
      </c>
      <c r="C56" s="2" t="s">
        <v>29</v>
      </c>
      <c r="D56" s="2" t="s">
        <v>30</v>
      </c>
      <c r="E56" s="2" t="s">
        <v>114</v>
      </c>
      <c r="F56" s="2" t="s">
        <v>115</v>
      </c>
      <c r="G56" s="2" t="s">
        <v>33</v>
      </c>
      <c r="H56" s="18">
        <v>1</v>
      </c>
      <c r="I56" s="10">
        <v>79.989999999999995</v>
      </c>
      <c r="J56" s="2" t="s">
        <v>34</v>
      </c>
      <c r="K56" s="2" t="s">
        <v>21</v>
      </c>
      <c r="L56" s="2" t="s">
        <v>27</v>
      </c>
      <c r="M56" s="14">
        <v>45352</v>
      </c>
      <c r="N56" s="12">
        <v>79.989999999999995</v>
      </c>
    </row>
    <row r="57" spans="1:14" ht="24.9" customHeight="1" thickBot="1">
      <c r="A57" s="3" t="s">
        <v>174</v>
      </c>
      <c r="B57" s="14">
        <v>45469</v>
      </c>
      <c r="C57" s="2" t="s">
        <v>59</v>
      </c>
      <c r="D57" s="2" t="s">
        <v>60</v>
      </c>
      <c r="E57" s="2" t="s">
        <v>117</v>
      </c>
      <c r="F57" s="2" t="s">
        <v>118</v>
      </c>
      <c r="G57" s="2" t="s">
        <v>19</v>
      </c>
      <c r="H57" s="18">
        <v>2</v>
      </c>
      <c r="I57" s="10">
        <v>89.99</v>
      </c>
      <c r="J57" s="2" t="s">
        <v>20</v>
      </c>
      <c r="K57" s="2" t="s">
        <v>50</v>
      </c>
      <c r="L57" s="2" t="s">
        <v>22</v>
      </c>
      <c r="M57" s="14">
        <v>44438</v>
      </c>
      <c r="N57" s="12">
        <v>179.98</v>
      </c>
    </row>
    <row r="58" spans="1:14" ht="24.9" customHeight="1" thickBot="1">
      <c r="A58" s="3" t="s">
        <v>175</v>
      </c>
      <c r="B58" s="14">
        <v>45471</v>
      </c>
      <c r="C58" s="2" t="s">
        <v>38</v>
      </c>
      <c r="D58" s="2" t="s">
        <v>39</v>
      </c>
      <c r="E58" s="2" t="s">
        <v>80</v>
      </c>
      <c r="F58" s="2" t="s">
        <v>81</v>
      </c>
      <c r="G58" s="2" t="s">
        <v>19</v>
      </c>
      <c r="H58" s="18">
        <v>3</v>
      </c>
      <c r="I58" s="10">
        <v>699.99</v>
      </c>
      <c r="J58" s="2" t="s">
        <v>26</v>
      </c>
      <c r="K58" s="2" t="s">
        <v>63</v>
      </c>
      <c r="L58" s="2" t="s">
        <v>27</v>
      </c>
      <c r="M58" s="14">
        <v>45102</v>
      </c>
      <c r="N58" s="12">
        <v>2099.9699999999998</v>
      </c>
    </row>
    <row r="59" spans="1:14" ht="24.9" customHeight="1" thickBot="1">
      <c r="A59" s="3" t="s">
        <v>176</v>
      </c>
      <c r="B59" s="14">
        <v>45471</v>
      </c>
      <c r="C59" s="2" t="s">
        <v>99</v>
      </c>
      <c r="D59" s="2" t="s">
        <v>100</v>
      </c>
      <c r="E59" s="2" t="s">
        <v>61</v>
      </c>
      <c r="F59" s="2" t="s">
        <v>62</v>
      </c>
      <c r="G59" s="2" t="s">
        <v>19</v>
      </c>
      <c r="H59" s="18">
        <v>4</v>
      </c>
      <c r="I59" s="10">
        <v>899.99</v>
      </c>
      <c r="J59" s="2" t="s">
        <v>26</v>
      </c>
      <c r="K59" s="2" t="s">
        <v>63</v>
      </c>
      <c r="L59" s="2" t="s">
        <v>27</v>
      </c>
      <c r="M59" s="14">
        <v>44993</v>
      </c>
      <c r="N59" s="12">
        <v>3599.96</v>
      </c>
    </row>
    <row r="60" spans="1:14" ht="24.9" customHeight="1" thickBot="1">
      <c r="A60" s="3" t="s">
        <v>177</v>
      </c>
      <c r="B60" s="14">
        <v>45472</v>
      </c>
      <c r="C60" s="2" t="s">
        <v>120</v>
      </c>
      <c r="D60" s="2" t="s">
        <v>121</v>
      </c>
      <c r="E60" s="2" t="s">
        <v>44</v>
      </c>
      <c r="F60" s="2" t="s">
        <v>45</v>
      </c>
      <c r="G60" s="2" t="s">
        <v>46</v>
      </c>
      <c r="H60" s="18">
        <v>1</v>
      </c>
      <c r="I60" s="10">
        <v>149.99</v>
      </c>
      <c r="J60" s="2" t="s">
        <v>34</v>
      </c>
      <c r="K60" s="2" t="s">
        <v>63</v>
      </c>
      <c r="L60" s="2" t="s">
        <v>22</v>
      </c>
      <c r="M60" s="14">
        <v>44851</v>
      </c>
      <c r="N60" s="12">
        <v>149.99</v>
      </c>
    </row>
    <row r="61" spans="1:14" ht="24.9" customHeight="1" thickBot="1">
      <c r="A61" s="3" t="s">
        <v>178</v>
      </c>
      <c r="B61" s="14">
        <v>45474</v>
      </c>
      <c r="C61" s="2" t="s">
        <v>132</v>
      </c>
      <c r="D61" s="2" t="s">
        <v>133</v>
      </c>
      <c r="E61" s="2" t="s">
        <v>117</v>
      </c>
      <c r="F61" s="2" t="s">
        <v>118</v>
      </c>
      <c r="G61" s="2" t="s">
        <v>19</v>
      </c>
      <c r="H61" s="18">
        <v>2</v>
      </c>
      <c r="I61" s="10">
        <v>89.99</v>
      </c>
      <c r="J61" s="2" t="s">
        <v>34</v>
      </c>
      <c r="K61" s="2" t="s">
        <v>21</v>
      </c>
      <c r="L61" s="2" t="s">
        <v>27</v>
      </c>
      <c r="M61" s="14">
        <v>45275</v>
      </c>
      <c r="N61" s="12">
        <v>179.98</v>
      </c>
    </row>
    <row r="62" spans="1:14" ht="24.9" customHeight="1" thickBot="1">
      <c r="A62" s="3" t="s">
        <v>179</v>
      </c>
      <c r="B62" s="14">
        <v>45475</v>
      </c>
      <c r="C62" s="2" t="s">
        <v>55</v>
      </c>
      <c r="D62" s="2" t="s">
        <v>56</v>
      </c>
      <c r="E62" s="2" t="s">
        <v>117</v>
      </c>
      <c r="F62" s="2" t="s">
        <v>118</v>
      </c>
      <c r="G62" s="2" t="s">
        <v>19</v>
      </c>
      <c r="H62" s="18">
        <v>1</v>
      </c>
      <c r="I62" s="10">
        <v>89.99</v>
      </c>
      <c r="J62" s="2" t="s">
        <v>34</v>
      </c>
      <c r="K62" s="2" t="s">
        <v>50</v>
      </c>
      <c r="L62" s="2" t="s">
        <v>36</v>
      </c>
      <c r="M62" s="14">
        <v>44802</v>
      </c>
      <c r="N62" s="12">
        <v>89.99</v>
      </c>
    </row>
    <row r="63" spans="1:14" ht="24.9" customHeight="1" thickBot="1">
      <c r="A63" s="3" t="s">
        <v>180</v>
      </c>
      <c r="B63" s="14">
        <v>45476</v>
      </c>
      <c r="C63" s="2" t="s">
        <v>68</v>
      </c>
      <c r="D63" s="2" t="s">
        <v>69</v>
      </c>
      <c r="E63" s="2" t="s">
        <v>117</v>
      </c>
      <c r="F63" s="2" t="s">
        <v>118</v>
      </c>
      <c r="G63" s="2" t="s">
        <v>19</v>
      </c>
      <c r="H63" s="18">
        <v>1</v>
      </c>
      <c r="I63" s="10">
        <v>89.99</v>
      </c>
      <c r="J63" s="2" t="s">
        <v>20</v>
      </c>
      <c r="K63" s="2" t="s">
        <v>35</v>
      </c>
      <c r="L63" s="2" t="s">
        <v>36</v>
      </c>
      <c r="M63" s="14">
        <v>44611</v>
      </c>
      <c r="N63" s="12">
        <v>89.99</v>
      </c>
    </row>
    <row r="64" spans="1:14" ht="24.9" customHeight="1" thickBot="1">
      <c r="A64" s="3" t="s">
        <v>181</v>
      </c>
      <c r="B64" s="14">
        <v>45476</v>
      </c>
      <c r="C64" s="2" t="s">
        <v>182</v>
      </c>
      <c r="D64" s="2" t="s">
        <v>183</v>
      </c>
      <c r="E64" s="2" t="s">
        <v>114</v>
      </c>
      <c r="F64" s="2" t="s">
        <v>115</v>
      </c>
      <c r="G64" s="2" t="s">
        <v>33</v>
      </c>
      <c r="H64" s="18">
        <v>5</v>
      </c>
      <c r="I64" s="10">
        <v>79.989999999999995</v>
      </c>
      <c r="J64" s="2" t="s">
        <v>57</v>
      </c>
      <c r="K64" s="2" t="s">
        <v>21</v>
      </c>
      <c r="L64" s="2" t="s">
        <v>22</v>
      </c>
      <c r="M64" s="14">
        <v>44981</v>
      </c>
      <c r="N64" s="12">
        <v>399.95</v>
      </c>
    </row>
    <row r="65" spans="1:14" ht="24.9" customHeight="1" thickBot="1">
      <c r="A65" s="3" t="s">
        <v>184</v>
      </c>
      <c r="B65" s="14">
        <v>45481</v>
      </c>
      <c r="C65" s="2" t="s">
        <v>185</v>
      </c>
      <c r="D65" s="2" t="s">
        <v>186</v>
      </c>
      <c r="E65" s="2" t="s">
        <v>44</v>
      </c>
      <c r="F65" s="2" t="s">
        <v>45</v>
      </c>
      <c r="G65" s="2" t="s">
        <v>46</v>
      </c>
      <c r="H65" s="18">
        <v>1</v>
      </c>
      <c r="I65" s="10">
        <v>149.99</v>
      </c>
      <c r="J65" s="2" t="s">
        <v>34</v>
      </c>
      <c r="K65" s="2" t="s">
        <v>40</v>
      </c>
      <c r="L65" s="2" t="s">
        <v>22</v>
      </c>
      <c r="M65" s="14">
        <v>44421</v>
      </c>
      <c r="N65" s="12">
        <v>149.99</v>
      </c>
    </row>
    <row r="66" spans="1:14" ht="24.9" customHeight="1" thickBot="1">
      <c r="A66" s="3" t="s">
        <v>187</v>
      </c>
      <c r="B66" s="14">
        <v>45481</v>
      </c>
      <c r="C66" s="2" t="s">
        <v>42</v>
      </c>
      <c r="D66" s="2" t="s">
        <v>43</v>
      </c>
      <c r="E66" s="2" t="s">
        <v>80</v>
      </c>
      <c r="F66" s="2" t="s">
        <v>81</v>
      </c>
      <c r="G66" s="2" t="s">
        <v>19</v>
      </c>
      <c r="H66" s="18">
        <v>2</v>
      </c>
      <c r="I66" s="10">
        <v>699.99</v>
      </c>
      <c r="J66" s="2" t="s">
        <v>34</v>
      </c>
      <c r="K66" s="2" t="s">
        <v>63</v>
      </c>
      <c r="L66" s="2" t="s">
        <v>27</v>
      </c>
      <c r="M66" s="14">
        <v>45389</v>
      </c>
      <c r="N66" s="12">
        <v>1399.98</v>
      </c>
    </row>
    <row r="67" spans="1:14" ht="24.9" customHeight="1" thickBot="1">
      <c r="A67" s="3" t="s">
        <v>188</v>
      </c>
      <c r="B67" s="14">
        <v>45481</v>
      </c>
      <c r="C67" s="2" t="s">
        <v>96</v>
      </c>
      <c r="D67" s="2" t="s">
        <v>97</v>
      </c>
      <c r="E67" s="2" t="s">
        <v>117</v>
      </c>
      <c r="F67" s="2" t="s">
        <v>118</v>
      </c>
      <c r="G67" s="2" t="s">
        <v>19</v>
      </c>
      <c r="H67" s="18">
        <v>5</v>
      </c>
      <c r="I67" s="10">
        <v>89.99</v>
      </c>
      <c r="J67" s="2" t="s">
        <v>57</v>
      </c>
      <c r="K67" s="2" t="s">
        <v>40</v>
      </c>
      <c r="L67" s="2" t="s">
        <v>27</v>
      </c>
      <c r="M67" s="14">
        <v>45161</v>
      </c>
      <c r="N67" s="12">
        <v>449.95</v>
      </c>
    </row>
    <row r="68" spans="1:14" ht="24.9" customHeight="1" thickBot="1">
      <c r="A68" s="3" t="s">
        <v>189</v>
      </c>
      <c r="B68" s="14">
        <v>45482</v>
      </c>
      <c r="C68" s="2" t="s">
        <v>171</v>
      </c>
      <c r="D68" s="2" t="s">
        <v>172</v>
      </c>
      <c r="E68" s="2" t="s">
        <v>31</v>
      </c>
      <c r="F68" s="2" t="s">
        <v>32</v>
      </c>
      <c r="G68" s="2" t="s">
        <v>33</v>
      </c>
      <c r="H68" s="18">
        <v>4</v>
      </c>
      <c r="I68" s="10">
        <v>59.99</v>
      </c>
      <c r="J68" s="2" t="s">
        <v>20</v>
      </c>
      <c r="K68" s="2" t="s">
        <v>35</v>
      </c>
      <c r="L68" s="2" t="s">
        <v>36</v>
      </c>
      <c r="M68" s="14">
        <v>44509</v>
      </c>
      <c r="N68" s="12">
        <v>239.96</v>
      </c>
    </row>
    <row r="69" spans="1:14" ht="24.9" customHeight="1" thickBot="1">
      <c r="A69" s="3" t="s">
        <v>190</v>
      </c>
      <c r="B69" s="14">
        <v>45484</v>
      </c>
      <c r="C69" s="2" t="s">
        <v>24</v>
      </c>
      <c r="D69" s="2" t="s">
        <v>25</v>
      </c>
      <c r="E69" s="2" t="s">
        <v>52</v>
      </c>
      <c r="F69" s="2" t="s">
        <v>53</v>
      </c>
      <c r="G69" s="2" t="s">
        <v>19</v>
      </c>
      <c r="H69" s="18">
        <v>1</v>
      </c>
      <c r="I69" s="10">
        <v>149.99</v>
      </c>
      <c r="J69" s="2" t="s">
        <v>20</v>
      </c>
      <c r="K69" s="2" t="s">
        <v>21</v>
      </c>
      <c r="L69" s="2" t="s">
        <v>36</v>
      </c>
      <c r="M69" s="14">
        <v>44909</v>
      </c>
      <c r="N69" s="12">
        <v>149.99</v>
      </c>
    </row>
    <row r="70" spans="1:14" ht="24.9" customHeight="1" thickBot="1">
      <c r="A70" s="3" t="s">
        <v>191</v>
      </c>
      <c r="B70" s="14">
        <v>45484</v>
      </c>
      <c r="C70" s="2" t="s">
        <v>192</v>
      </c>
      <c r="D70" s="2" t="s">
        <v>193</v>
      </c>
      <c r="E70" s="2" t="s">
        <v>105</v>
      </c>
      <c r="F70" s="2" t="s">
        <v>106</v>
      </c>
      <c r="G70" s="2" t="s">
        <v>46</v>
      </c>
      <c r="H70" s="18">
        <v>1</v>
      </c>
      <c r="I70" s="10">
        <v>299.99</v>
      </c>
      <c r="J70" s="2" t="s">
        <v>26</v>
      </c>
      <c r="K70" s="2" t="s">
        <v>40</v>
      </c>
      <c r="L70" s="2" t="s">
        <v>27</v>
      </c>
      <c r="M70" s="14">
        <v>44891</v>
      </c>
      <c r="N70" s="12">
        <v>299.99</v>
      </c>
    </row>
    <row r="71" spans="1:14" ht="24.9" customHeight="1" thickBot="1">
      <c r="A71" s="3" t="s">
        <v>194</v>
      </c>
      <c r="B71" s="14">
        <v>45487</v>
      </c>
      <c r="C71" s="2" t="s">
        <v>192</v>
      </c>
      <c r="D71" s="2" t="s">
        <v>193</v>
      </c>
      <c r="E71" s="2" t="s">
        <v>126</v>
      </c>
      <c r="F71" s="2" t="s">
        <v>127</v>
      </c>
      <c r="G71" s="2" t="s">
        <v>46</v>
      </c>
      <c r="H71" s="18">
        <v>2</v>
      </c>
      <c r="I71" s="10">
        <v>199.99</v>
      </c>
      <c r="J71" s="2" t="s">
        <v>20</v>
      </c>
      <c r="K71" s="2" t="s">
        <v>40</v>
      </c>
      <c r="L71" s="2" t="s">
        <v>22</v>
      </c>
      <c r="M71" s="14">
        <v>44541</v>
      </c>
      <c r="N71" s="12">
        <v>399.98</v>
      </c>
    </row>
    <row r="72" spans="1:14" ht="24.9" customHeight="1" thickBot="1">
      <c r="A72" s="3" t="s">
        <v>195</v>
      </c>
      <c r="B72" s="14">
        <v>45490</v>
      </c>
      <c r="C72" s="2" t="s">
        <v>196</v>
      </c>
      <c r="D72" s="2" t="s">
        <v>197</v>
      </c>
      <c r="E72" s="2" t="s">
        <v>31</v>
      </c>
      <c r="F72" s="2" t="s">
        <v>32</v>
      </c>
      <c r="G72" s="2" t="s">
        <v>33</v>
      </c>
      <c r="H72" s="18">
        <v>3</v>
      </c>
      <c r="I72" s="10">
        <v>59.99</v>
      </c>
      <c r="J72" s="2" t="s">
        <v>26</v>
      </c>
      <c r="K72" s="2" t="s">
        <v>50</v>
      </c>
      <c r="L72" s="2" t="s">
        <v>22</v>
      </c>
      <c r="M72" s="14">
        <v>45130</v>
      </c>
      <c r="N72" s="12">
        <v>179.97</v>
      </c>
    </row>
    <row r="73" spans="1:14" ht="24.9" customHeight="1" thickBot="1">
      <c r="A73" s="3" t="s">
        <v>198</v>
      </c>
      <c r="B73" s="14">
        <v>45490</v>
      </c>
      <c r="C73" s="2" t="s">
        <v>72</v>
      </c>
      <c r="D73" s="2" t="s">
        <v>73</v>
      </c>
      <c r="E73" s="2" t="s">
        <v>44</v>
      </c>
      <c r="F73" s="2" t="s">
        <v>45</v>
      </c>
      <c r="G73" s="2" t="s">
        <v>46</v>
      </c>
      <c r="H73" s="18">
        <v>3</v>
      </c>
      <c r="I73" s="10">
        <v>149.99</v>
      </c>
      <c r="J73" s="2" t="s">
        <v>20</v>
      </c>
      <c r="K73" s="2" t="s">
        <v>21</v>
      </c>
      <c r="L73" s="2" t="s">
        <v>27</v>
      </c>
      <c r="M73" s="14">
        <v>45199</v>
      </c>
      <c r="N73" s="12">
        <v>449.97</v>
      </c>
    </row>
    <row r="74" spans="1:14" ht="24.9" customHeight="1" thickBot="1">
      <c r="A74" s="3" t="s">
        <v>199</v>
      </c>
      <c r="B74" s="14">
        <v>45491</v>
      </c>
      <c r="C74" s="2" t="s">
        <v>65</v>
      </c>
      <c r="D74" s="2" t="s">
        <v>66</v>
      </c>
      <c r="E74" s="2" t="s">
        <v>126</v>
      </c>
      <c r="F74" s="2" t="s">
        <v>127</v>
      </c>
      <c r="G74" s="2" t="s">
        <v>46</v>
      </c>
      <c r="H74" s="18">
        <v>3</v>
      </c>
      <c r="I74" s="10">
        <v>199.99</v>
      </c>
      <c r="J74" s="2" t="s">
        <v>20</v>
      </c>
      <c r="K74" s="2" t="s">
        <v>40</v>
      </c>
      <c r="L74" s="2" t="s">
        <v>27</v>
      </c>
      <c r="M74" s="14">
        <v>45254</v>
      </c>
      <c r="N74" s="12">
        <v>599.97</v>
      </c>
    </row>
    <row r="75" spans="1:14" ht="24.9" customHeight="1" thickBot="1">
      <c r="A75" s="3" t="s">
        <v>200</v>
      </c>
      <c r="B75" s="14">
        <v>45496</v>
      </c>
      <c r="C75" s="2" t="s">
        <v>150</v>
      </c>
      <c r="D75" s="2" t="s">
        <v>151</v>
      </c>
      <c r="E75" s="2" t="s">
        <v>61</v>
      </c>
      <c r="F75" s="2" t="s">
        <v>62</v>
      </c>
      <c r="G75" s="2" t="s">
        <v>19</v>
      </c>
      <c r="H75" s="18">
        <v>1</v>
      </c>
      <c r="I75" s="10">
        <v>899.99</v>
      </c>
      <c r="J75" s="2" t="s">
        <v>20</v>
      </c>
      <c r="K75" s="2" t="s">
        <v>21</v>
      </c>
      <c r="L75" s="2" t="s">
        <v>36</v>
      </c>
      <c r="M75" s="14">
        <v>45179</v>
      </c>
      <c r="N75" s="12">
        <v>899.99</v>
      </c>
    </row>
    <row r="76" spans="1:14" ht="24.9" customHeight="1" thickBot="1">
      <c r="A76" s="3" t="s">
        <v>201</v>
      </c>
      <c r="B76" s="14">
        <v>45497</v>
      </c>
      <c r="C76" s="2" t="s">
        <v>24</v>
      </c>
      <c r="D76" s="2" t="s">
        <v>25</v>
      </c>
      <c r="E76" s="2" t="s">
        <v>61</v>
      </c>
      <c r="F76" s="2" t="s">
        <v>62</v>
      </c>
      <c r="G76" s="2" t="s">
        <v>19</v>
      </c>
      <c r="H76" s="18">
        <v>5</v>
      </c>
      <c r="I76" s="10">
        <v>899.99</v>
      </c>
      <c r="J76" s="2" t="s">
        <v>57</v>
      </c>
      <c r="K76" s="2" t="s">
        <v>35</v>
      </c>
      <c r="L76" s="2" t="s">
        <v>36</v>
      </c>
      <c r="M76" s="14">
        <v>44899</v>
      </c>
      <c r="N76" s="12">
        <v>4499.95</v>
      </c>
    </row>
    <row r="77" spans="1:14" ht="24.9" customHeight="1" thickBot="1">
      <c r="A77" s="3" t="s">
        <v>202</v>
      </c>
      <c r="B77" s="14">
        <v>45498</v>
      </c>
      <c r="C77" s="2" t="s">
        <v>182</v>
      </c>
      <c r="D77" s="2" t="s">
        <v>183</v>
      </c>
      <c r="E77" s="2" t="s">
        <v>31</v>
      </c>
      <c r="F77" s="2" t="s">
        <v>32</v>
      </c>
      <c r="G77" s="2" t="s">
        <v>33</v>
      </c>
      <c r="H77" s="18">
        <v>2</v>
      </c>
      <c r="I77" s="10">
        <v>59.99</v>
      </c>
      <c r="J77" s="2" t="s">
        <v>20</v>
      </c>
      <c r="K77" s="2" t="s">
        <v>40</v>
      </c>
      <c r="L77" s="2" t="s">
        <v>36</v>
      </c>
      <c r="M77" s="14">
        <v>45152</v>
      </c>
      <c r="N77" s="12">
        <v>119.98</v>
      </c>
    </row>
    <row r="78" spans="1:14" ht="24.9" customHeight="1" thickBot="1">
      <c r="A78" s="3" t="s">
        <v>203</v>
      </c>
      <c r="B78" s="14">
        <v>45498</v>
      </c>
      <c r="C78" s="2" t="s">
        <v>196</v>
      </c>
      <c r="D78" s="2" t="s">
        <v>197</v>
      </c>
      <c r="E78" s="2" t="s">
        <v>17</v>
      </c>
      <c r="F78" s="2" t="s">
        <v>18</v>
      </c>
      <c r="G78" s="2" t="s">
        <v>19</v>
      </c>
      <c r="H78" s="18">
        <v>4</v>
      </c>
      <c r="I78" s="10">
        <v>249.99</v>
      </c>
      <c r="J78" s="2" t="s">
        <v>57</v>
      </c>
      <c r="K78" s="2" t="s">
        <v>21</v>
      </c>
      <c r="L78" s="2" t="s">
        <v>36</v>
      </c>
      <c r="M78" s="14">
        <v>45127</v>
      </c>
      <c r="N78" s="12">
        <v>999.96</v>
      </c>
    </row>
    <row r="79" spans="1:14" ht="24.9" customHeight="1" thickBot="1">
      <c r="A79" s="3" t="s">
        <v>204</v>
      </c>
      <c r="B79" s="14">
        <v>45500</v>
      </c>
      <c r="C79" s="2" t="s">
        <v>96</v>
      </c>
      <c r="D79" s="2" t="s">
        <v>97</v>
      </c>
      <c r="E79" s="2" t="s">
        <v>17</v>
      </c>
      <c r="F79" s="2" t="s">
        <v>18</v>
      </c>
      <c r="G79" s="2" t="s">
        <v>19</v>
      </c>
      <c r="H79" s="18">
        <v>2</v>
      </c>
      <c r="I79" s="10">
        <v>249.99</v>
      </c>
      <c r="J79" s="2" t="s">
        <v>20</v>
      </c>
      <c r="K79" s="2" t="s">
        <v>40</v>
      </c>
      <c r="L79" s="2" t="s">
        <v>27</v>
      </c>
      <c r="M79" s="14">
        <v>45164</v>
      </c>
      <c r="N79" s="12">
        <v>499.98</v>
      </c>
    </row>
    <row r="80" spans="1:14" ht="24.9" customHeight="1" thickBot="1">
      <c r="A80" s="3" t="s">
        <v>205</v>
      </c>
      <c r="B80" s="14">
        <v>45500</v>
      </c>
      <c r="C80" s="2" t="s">
        <v>147</v>
      </c>
      <c r="D80" s="2" t="s">
        <v>148</v>
      </c>
      <c r="E80" s="2" t="s">
        <v>105</v>
      </c>
      <c r="F80" s="2" t="s">
        <v>106</v>
      </c>
      <c r="G80" s="2" t="s">
        <v>46</v>
      </c>
      <c r="H80" s="18">
        <v>1</v>
      </c>
      <c r="I80" s="10">
        <v>299.99</v>
      </c>
      <c r="J80" s="2" t="s">
        <v>20</v>
      </c>
      <c r="K80" s="2" t="s">
        <v>35</v>
      </c>
      <c r="L80" s="2" t="s">
        <v>22</v>
      </c>
      <c r="M80" s="14">
        <v>44982</v>
      </c>
      <c r="N80" s="12">
        <v>299.99</v>
      </c>
    </row>
    <row r="81" spans="1:14" ht="24.9" customHeight="1" thickBot="1">
      <c r="A81" s="3" t="s">
        <v>206</v>
      </c>
      <c r="B81" s="14">
        <v>45501</v>
      </c>
      <c r="C81" s="2" t="s">
        <v>86</v>
      </c>
      <c r="D81" s="2" t="s">
        <v>87</v>
      </c>
      <c r="E81" s="2" t="s">
        <v>117</v>
      </c>
      <c r="F81" s="2" t="s">
        <v>118</v>
      </c>
      <c r="G81" s="2" t="s">
        <v>19</v>
      </c>
      <c r="H81" s="18">
        <v>2</v>
      </c>
      <c r="I81" s="10">
        <v>89.99</v>
      </c>
      <c r="J81" s="2" t="s">
        <v>34</v>
      </c>
      <c r="K81" s="2" t="s">
        <v>35</v>
      </c>
      <c r="L81" s="2" t="s">
        <v>22</v>
      </c>
      <c r="M81" s="14">
        <v>44976</v>
      </c>
      <c r="N81" s="12">
        <v>179.98</v>
      </c>
    </row>
    <row r="82" spans="1:14" ht="24.9" customHeight="1" thickBot="1">
      <c r="A82" s="3" t="s">
        <v>207</v>
      </c>
      <c r="B82" s="14">
        <v>45501</v>
      </c>
      <c r="C82" s="2" t="s">
        <v>147</v>
      </c>
      <c r="D82" s="2" t="s">
        <v>148</v>
      </c>
      <c r="E82" s="2" t="s">
        <v>105</v>
      </c>
      <c r="F82" s="2" t="s">
        <v>106</v>
      </c>
      <c r="G82" s="2" t="s">
        <v>46</v>
      </c>
      <c r="H82" s="18">
        <v>3</v>
      </c>
      <c r="I82" s="10">
        <v>299.99</v>
      </c>
      <c r="J82" s="2" t="s">
        <v>20</v>
      </c>
      <c r="K82" s="2" t="s">
        <v>21</v>
      </c>
      <c r="L82" s="2" t="s">
        <v>22</v>
      </c>
      <c r="M82" s="14">
        <v>44732</v>
      </c>
      <c r="N82" s="12">
        <v>899.97</v>
      </c>
    </row>
    <row r="83" spans="1:14" ht="24.9" customHeight="1" thickBot="1">
      <c r="A83" s="3" t="s">
        <v>208</v>
      </c>
      <c r="B83" s="14">
        <v>45503</v>
      </c>
      <c r="C83" s="2" t="s">
        <v>86</v>
      </c>
      <c r="D83" s="2" t="s">
        <v>87</v>
      </c>
      <c r="E83" s="2" t="s">
        <v>80</v>
      </c>
      <c r="F83" s="2" t="s">
        <v>81</v>
      </c>
      <c r="G83" s="2" t="s">
        <v>19</v>
      </c>
      <c r="H83" s="18">
        <v>2</v>
      </c>
      <c r="I83" s="10">
        <v>699.99</v>
      </c>
      <c r="J83" s="2" t="s">
        <v>26</v>
      </c>
      <c r="K83" s="2" t="s">
        <v>40</v>
      </c>
      <c r="L83" s="2" t="s">
        <v>27</v>
      </c>
      <c r="M83" s="14">
        <v>44999</v>
      </c>
      <c r="N83" s="12">
        <v>1399.98</v>
      </c>
    </row>
    <row r="84" spans="1:14" ht="24.9" customHeight="1" thickBot="1">
      <c r="A84" s="3" t="s">
        <v>209</v>
      </c>
      <c r="B84" s="14">
        <v>45504</v>
      </c>
      <c r="C84" s="2" t="s">
        <v>120</v>
      </c>
      <c r="D84" s="2" t="s">
        <v>121</v>
      </c>
      <c r="E84" s="2" t="s">
        <v>61</v>
      </c>
      <c r="F84" s="2" t="s">
        <v>62</v>
      </c>
      <c r="G84" s="2" t="s">
        <v>19</v>
      </c>
      <c r="H84" s="18">
        <v>4</v>
      </c>
      <c r="I84" s="10">
        <v>899.99</v>
      </c>
      <c r="J84" s="2" t="s">
        <v>57</v>
      </c>
      <c r="K84" s="2" t="s">
        <v>35</v>
      </c>
      <c r="L84" s="2" t="s">
        <v>36</v>
      </c>
      <c r="M84" s="14">
        <v>44523</v>
      </c>
      <c r="N84" s="12">
        <v>3599.96</v>
      </c>
    </row>
    <row r="85" spans="1:14" ht="24.9" customHeight="1" thickBot="1">
      <c r="A85" s="3" t="s">
        <v>210</v>
      </c>
      <c r="B85" s="14">
        <v>45509</v>
      </c>
      <c r="C85" s="2" t="s">
        <v>211</v>
      </c>
      <c r="D85" s="2" t="s">
        <v>212</v>
      </c>
      <c r="E85" s="2" t="s">
        <v>44</v>
      </c>
      <c r="F85" s="2" t="s">
        <v>45</v>
      </c>
      <c r="G85" s="2" t="s">
        <v>46</v>
      </c>
      <c r="H85" s="18">
        <v>2</v>
      </c>
      <c r="I85" s="10">
        <v>149.99</v>
      </c>
      <c r="J85" s="2" t="s">
        <v>26</v>
      </c>
      <c r="K85" s="2" t="s">
        <v>50</v>
      </c>
      <c r="L85" s="2" t="s">
        <v>22</v>
      </c>
      <c r="M85" s="14">
        <v>44542</v>
      </c>
      <c r="N85" s="12">
        <v>299.98</v>
      </c>
    </row>
    <row r="86" spans="1:14" ht="24.9" customHeight="1" thickBot="1">
      <c r="A86" s="3" t="s">
        <v>213</v>
      </c>
      <c r="B86" s="14">
        <v>45510</v>
      </c>
      <c r="C86" s="2" t="s">
        <v>102</v>
      </c>
      <c r="D86" s="2" t="s">
        <v>103</v>
      </c>
      <c r="E86" s="2" t="s">
        <v>44</v>
      </c>
      <c r="F86" s="2" t="s">
        <v>45</v>
      </c>
      <c r="G86" s="2" t="s">
        <v>46</v>
      </c>
      <c r="H86" s="18">
        <v>2</v>
      </c>
      <c r="I86" s="10">
        <v>149.99</v>
      </c>
      <c r="J86" s="2" t="s">
        <v>57</v>
      </c>
      <c r="K86" s="2" t="s">
        <v>63</v>
      </c>
      <c r="L86" s="2" t="s">
        <v>36</v>
      </c>
      <c r="M86" s="14">
        <v>44667</v>
      </c>
      <c r="N86" s="12">
        <v>299.98</v>
      </c>
    </row>
    <row r="87" spans="1:14" ht="24.9" customHeight="1" thickBot="1">
      <c r="A87" s="3" t="s">
        <v>214</v>
      </c>
      <c r="B87" s="14">
        <v>45513</v>
      </c>
      <c r="C87" s="2" t="s">
        <v>89</v>
      </c>
      <c r="D87" s="2" t="s">
        <v>90</v>
      </c>
      <c r="E87" s="2" t="s">
        <v>117</v>
      </c>
      <c r="F87" s="2" t="s">
        <v>118</v>
      </c>
      <c r="G87" s="2" t="s">
        <v>19</v>
      </c>
      <c r="H87" s="18">
        <v>1</v>
      </c>
      <c r="I87" s="10">
        <v>89.99</v>
      </c>
      <c r="J87" s="2" t="s">
        <v>26</v>
      </c>
      <c r="K87" s="2" t="s">
        <v>40</v>
      </c>
      <c r="L87" s="2" t="s">
        <v>36</v>
      </c>
      <c r="M87" s="14">
        <v>45393</v>
      </c>
      <c r="N87" s="12">
        <v>89.99</v>
      </c>
    </row>
    <row r="88" spans="1:14" ht="24.9" customHeight="1" thickBot="1">
      <c r="A88" s="3" t="s">
        <v>215</v>
      </c>
      <c r="B88" s="14">
        <v>45515</v>
      </c>
      <c r="C88" s="2" t="s">
        <v>86</v>
      </c>
      <c r="D88" s="2" t="s">
        <v>87</v>
      </c>
      <c r="E88" s="2" t="s">
        <v>105</v>
      </c>
      <c r="F88" s="2" t="s">
        <v>106</v>
      </c>
      <c r="G88" s="2" t="s">
        <v>46</v>
      </c>
      <c r="H88" s="18">
        <v>5</v>
      </c>
      <c r="I88" s="10">
        <v>299.99</v>
      </c>
      <c r="J88" s="2" t="s">
        <v>26</v>
      </c>
      <c r="K88" s="2" t="s">
        <v>40</v>
      </c>
      <c r="L88" s="2" t="s">
        <v>22</v>
      </c>
      <c r="M88" s="14">
        <v>44965</v>
      </c>
      <c r="N88" s="12">
        <v>1499.95</v>
      </c>
    </row>
    <row r="89" spans="1:14" ht="24.9" customHeight="1" thickBot="1">
      <c r="A89" s="3" t="s">
        <v>216</v>
      </c>
      <c r="B89" s="14">
        <v>45517</v>
      </c>
      <c r="C89" s="2" t="s">
        <v>182</v>
      </c>
      <c r="D89" s="2" t="s">
        <v>183</v>
      </c>
      <c r="E89" s="2" t="s">
        <v>52</v>
      </c>
      <c r="F89" s="2" t="s">
        <v>53</v>
      </c>
      <c r="G89" s="2" t="s">
        <v>19</v>
      </c>
      <c r="H89" s="18">
        <v>4</v>
      </c>
      <c r="I89" s="10">
        <v>149.99</v>
      </c>
      <c r="J89" s="2" t="s">
        <v>57</v>
      </c>
      <c r="K89" s="2" t="s">
        <v>35</v>
      </c>
      <c r="L89" s="2" t="s">
        <v>27</v>
      </c>
      <c r="M89" s="14">
        <v>44820</v>
      </c>
      <c r="N89" s="12">
        <v>599.96</v>
      </c>
    </row>
    <row r="90" spans="1:14" ht="24.9" customHeight="1" thickBot="1">
      <c r="A90" s="3" t="s">
        <v>217</v>
      </c>
      <c r="B90" s="14">
        <v>45517</v>
      </c>
      <c r="C90" s="2" t="s">
        <v>185</v>
      </c>
      <c r="D90" s="2" t="s">
        <v>186</v>
      </c>
      <c r="E90" s="2" t="s">
        <v>17</v>
      </c>
      <c r="F90" s="2" t="s">
        <v>18</v>
      </c>
      <c r="G90" s="2" t="s">
        <v>19</v>
      </c>
      <c r="H90" s="18">
        <v>5</v>
      </c>
      <c r="I90" s="10">
        <v>249.99</v>
      </c>
      <c r="J90" s="2" t="s">
        <v>34</v>
      </c>
      <c r="K90" s="2" t="s">
        <v>63</v>
      </c>
      <c r="L90" s="2" t="s">
        <v>27</v>
      </c>
      <c r="M90" s="14">
        <v>44782</v>
      </c>
      <c r="N90" s="12">
        <v>1249.95</v>
      </c>
    </row>
    <row r="91" spans="1:14" ht="24.9" customHeight="1" thickBot="1">
      <c r="A91" s="3" t="s">
        <v>218</v>
      </c>
      <c r="B91" s="14">
        <v>45517</v>
      </c>
      <c r="C91" s="2" t="s">
        <v>65</v>
      </c>
      <c r="D91" s="2" t="s">
        <v>66</v>
      </c>
      <c r="E91" s="2" t="s">
        <v>17</v>
      </c>
      <c r="F91" s="2" t="s">
        <v>18</v>
      </c>
      <c r="G91" s="2" t="s">
        <v>19</v>
      </c>
      <c r="H91" s="18">
        <v>3</v>
      </c>
      <c r="I91" s="10">
        <v>249.99</v>
      </c>
      <c r="J91" s="2" t="s">
        <v>34</v>
      </c>
      <c r="K91" s="2" t="s">
        <v>40</v>
      </c>
      <c r="L91" s="2" t="s">
        <v>27</v>
      </c>
      <c r="M91" s="14">
        <v>44465</v>
      </c>
      <c r="N91" s="12">
        <v>749.97</v>
      </c>
    </row>
    <row r="92" spans="1:14" ht="24.9" customHeight="1" thickBot="1">
      <c r="A92" s="3" t="s">
        <v>219</v>
      </c>
      <c r="B92" s="14">
        <v>45517</v>
      </c>
      <c r="C92" s="2" t="s">
        <v>38</v>
      </c>
      <c r="D92" s="2" t="s">
        <v>39</v>
      </c>
      <c r="E92" s="2" t="s">
        <v>126</v>
      </c>
      <c r="F92" s="2" t="s">
        <v>127</v>
      </c>
      <c r="G92" s="2" t="s">
        <v>46</v>
      </c>
      <c r="H92" s="18">
        <v>4</v>
      </c>
      <c r="I92" s="10">
        <v>199.99</v>
      </c>
      <c r="J92" s="2" t="s">
        <v>20</v>
      </c>
      <c r="K92" s="2" t="s">
        <v>40</v>
      </c>
      <c r="L92" s="2" t="s">
        <v>36</v>
      </c>
      <c r="M92" s="14">
        <v>44458</v>
      </c>
      <c r="N92" s="12">
        <v>799.96</v>
      </c>
    </row>
    <row r="93" spans="1:14" ht="24.9" customHeight="1" thickBot="1">
      <c r="A93" s="3" t="s">
        <v>220</v>
      </c>
      <c r="B93" s="14">
        <v>45519</v>
      </c>
      <c r="C93" s="2" t="s">
        <v>158</v>
      </c>
      <c r="D93" s="2" t="s">
        <v>159</v>
      </c>
      <c r="E93" s="2" t="s">
        <v>126</v>
      </c>
      <c r="F93" s="2" t="s">
        <v>127</v>
      </c>
      <c r="G93" s="2" t="s">
        <v>46</v>
      </c>
      <c r="H93" s="18">
        <v>5</v>
      </c>
      <c r="I93" s="10">
        <v>199.99</v>
      </c>
      <c r="J93" s="2" t="s">
        <v>20</v>
      </c>
      <c r="K93" s="2" t="s">
        <v>40</v>
      </c>
      <c r="L93" s="2" t="s">
        <v>27</v>
      </c>
      <c r="M93" s="14">
        <v>44991</v>
      </c>
      <c r="N93" s="12">
        <v>999.95</v>
      </c>
    </row>
    <row r="94" spans="1:14" ht="24.9" customHeight="1" thickBot="1">
      <c r="A94" s="3" t="s">
        <v>221</v>
      </c>
      <c r="B94" s="14">
        <v>45522</v>
      </c>
      <c r="C94" s="2" t="s">
        <v>86</v>
      </c>
      <c r="D94" s="2" t="s">
        <v>87</v>
      </c>
      <c r="E94" s="2" t="s">
        <v>117</v>
      </c>
      <c r="F94" s="2" t="s">
        <v>118</v>
      </c>
      <c r="G94" s="2" t="s">
        <v>19</v>
      </c>
      <c r="H94" s="18">
        <v>2</v>
      </c>
      <c r="I94" s="10">
        <v>89.99</v>
      </c>
      <c r="J94" s="2" t="s">
        <v>20</v>
      </c>
      <c r="K94" s="2" t="s">
        <v>63</v>
      </c>
      <c r="L94" s="2" t="s">
        <v>27</v>
      </c>
      <c r="M94" s="14">
        <v>44972</v>
      </c>
      <c r="N94" s="12">
        <v>179.98</v>
      </c>
    </row>
    <row r="95" spans="1:14" ht="24.9" customHeight="1" thickBot="1">
      <c r="A95" s="3" t="s">
        <v>222</v>
      </c>
      <c r="B95" s="14">
        <v>45523</v>
      </c>
      <c r="C95" s="2" t="s">
        <v>196</v>
      </c>
      <c r="D95" s="2" t="s">
        <v>197</v>
      </c>
      <c r="E95" s="2" t="s">
        <v>61</v>
      </c>
      <c r="F95" s="2" t="s">
        <v>62</v>
      </c>
      <c r="G95" s="2" t="s">
        <v>19</v>
      </c>
      <c r="H95" s="18">
        <v>5</v>
      </c>
      <c r="I95" s="10">
        <v>899.99</v>
      </c>
      <c r="J95" s="2" t="s">
        <v>57</v>
      </c>
      <c r="K95" s="2" t="s">
        <v>63</v>
      </c>
      <c r="L95" s="2" t="s">
        <v>22</v>
      </c>
      <c r="M95" s="14">
        <v>44526</v>
      </c>
      <c r="N95" s="12">
        <v>4499.95</v>
      </c>
    </row>
    <row r="96" spans="1:14" ht="24.9" customHeight="1" thickBot="1">
      <c r="A96" s="3" t="s">
        <v>223</v>
      </c>
      <c r="B96" s="14">
        <v>45523</v>
      </c>
      <c r="C96" s="2" t="s">
        <v>108</v>
      </c>
      <c r="D96" s="2" t="s">
        <v>109</v>
      </c>
      <c r="E96" s="2" t="s">
        <v>52</v>
      </c>
      <c r="F96" s="2" t="s">
        <v>53</v>
      </c>
      <c r="G96" s="2" t="s">
        <v>19</v>
      </c>
      <c r="H96" s="18">
        <v>3</v>
      </c>
      <c r="I96" s="10">
        <v>149.99</v>
      </c>
      <c r="J96" s="2" t="s">
        <v>34</v>
      </c>
      <c r="K96" s="2" t="s">
        <v>63</v>
      </c>
      <c r="L96" s="2" t="s">
        <v>22</v>
      </c>
      <c r="M96" s="14">
        <v>44574</v>
      </c>
      <c r="N96" s="12">
        <v>449.97</v>
      </c>
    </row>
    <row r="97" spans="1:14" ht="24.9" customHeight="1" thickBot="1">
      <c r="A97" s="3" t="s">
        <v>224</v>
      </c>
      <c r="B97" s="14">
        <v>45526</v>
      </c>
      <c r="C97" s="2" t="s">
        <v>102</v>
      </c>
      <c r="D97" s="2" t="s">
        <v>103</v>
      </c>
      <c r="E97" s="2" t="s">
        <v>44</v>
      </c>
      <c r="F97" s="2" t="s">
        <v>45</v>
      </c>
      <c r="G97" s="2" t="s">
        <v>46</v>
      </c>
      <c r="H97" s="18">
        <v>5</v>
      </c>
      <c r="I97" s="10">
        <v>149.99</v>
      </c>
      <c r="J97" s="2" t="s">
        <v>26</v>
      </c>
      <c r="K97" s="2" t="s">
        <v>21</v>
      </c>
      <c r="L97" s="2" t="s">
        <v>22</v>
      </c>
      <c r="M97" s="14">
        <v>45310</v>
      </c>
      <c r="N97" s="12">
        <v>749.95</v>
      </c>
    </row>
    <row r="98" spans="1:14" ht="24.9" customHeight="1" thickBot="1">
      <c r="A98" s="3" t="s">
        <v>225</v>
      </c>
      <c r="B98" s="14">
        <v>45528</v>
      </c>
      <c r="C98" s="2" t="s">
        <v>226</v>
      </c>
      <c r="D98" s="2" t="s">
        <v>227</v>
      </c>
      <c r="E98" s="2" t="s">
        <v>114</v>
      </c>
      <c r="F98" s="2" t="s">
        <v>115</v>
      </c>
      <c r="G98" s="2" t="s">
        <v>33</v>
      </c>
      <c r="H98" s="18">
        <v>3</v>
      </c>
      <c r="I98" s="10">
        <v>79.989999999999995</v>
      </c>
      <c r="J98" s="2" t="s">
        <v>20</v>
      </c>
      <c r="K98" s="2" t="s">
        <v>21</v>
      </c>
      <c r="L98" s="2" t="s">
        <v>27</v>
      </c>
      <c r="M98" s="14">
        <v>44779</v>
      </c>
      <c r="N98" s="12">
        <v>239.97</v>
      </c>
    </row>
    <row r="99" spans="1:14" ht="24.9" customHeight="1" thickBot="1">
      <c r="A99" s="3" t="s">
        <v>228</v>
      </c>
      <c r="B99" s="14">
        <v>45528</v>
      </c>
      <c r="C99" s="2" t="s">
        <v>144</v>
      </c>
      <c r="D99" s="2" t="s">
        <v>145</v>
      </c>
      <c r="E99" s="2" t="s">
        <v>17</v>
      </c>
      <c r="F99" s="2" t="s">
        <v>18</v>
      </c>
      <c r="G99" s="2" t="s">
        <v>19</v>
      </c>
      <c r="H99" s="18">
        <v>2</v>
      </c>
      <c r="I99" s="10">
        <v>249.99</v>
      </c>
      <c r="J99" s="2" t="s">
        <v>20</v>
      </c>
      <c r="K99" s="2" t="s">
        <v>35</v>
      </c>
      <c r="L99" s="2" t="s">
        <v>36</v>
      </c>
      <c r="M99" s="14">
        <v>44572</v>
      </c>
      <c r="N99" s="12">
        <v>499.98</v>
      </c>
    </row>
    <row r="100" spans="1:14" ht="24.9" customHeight="1" thickBot="1">
      <c r="A100" s="3" t="s">
        <v>229</v>
      </c>
      <c r="B100" s="14">
        <v>45532</v>
      </c>
      <c r="C100" s="2" t="s">
        <v>196</v>
      </c>
      <c r="D100" s="2" t="s">
        <v>197</v>
      </c>
      <c r="E100" s="2" t="s">
        <v>80</v>
      </c>
      <c r="F100" s="2" t="s">
        <v>81</v>
      </c>
      <c r="G100" s="2" t="s">
        <v>19</v>
      </c>
      <c r="H100" s="18">
        <v>1</v>
      </c>
      <c r="I100" s="10">
        <v>699.99</v>
      </c>
      <c r="J100" s="2" t="s">
        <v>20</v>
      </c>
      <c r="K100" s="2" t="s">
        <v>21</v>
      </c>
      <c r="L100" s="2" t="s">
        <v>27</v>
      </c>
      <c r="M100" s="14">
        <v>44497</v>
      </c>
      <c r="N100" s="12">
        <v>699.99</v>
      </c>
    </row>
    <row r="101" spans="1:14" ht="24.9" customHeight="1" thickBot="1">
      <c r="A101" s="3" t="s">
        <v>230</v>
      </c>
      <c r="B101" s="14">
        <v>45532</v>
      </c>
      <c r="C101" s="2" t="s">
        <v>231</v>
      </c>
      <c r="D101" s="2" t="s">
        <v>232</v>
      </c>
      <c r="E101" s="2" t="s">
        <v>52</v>
      </c>
      <c r="F101" s="2" t="s">
        <v>53</v>
      </c>
      <c r="G101" s="2" t="s">
        <v>19</v>
      </c>
      <c r="H101" s="18">
        <v>3</v>
      </c>
      <c r="I101" s="10">
        <v>149.99</v>
      </c>
      <c r="J101" s="2" t="s">
        <v>20</v>
      </c>
      <c r="K101" s="2" t="s">
        <v>50</v>
      </c>
      <c r="L101" s="2" t="s">
        <v>27</v>
      </c>
      <c r="M101" s="14">
        <v>45212</v>
      </c>
      <c r="N101" s="12">
        <v>449.97</v>
      </c>
    </row>
    <row r="102" spans="1:14" ht="24.9" customHeight="1" thickBot="1">
      <c r="A102" s="3" t="s">
        <v>233</v>
      </c>
      <c r="B102" s="14">
        <v>45534</v>
      </c>
      <c r="C102" s="2" t="s">
        <v>234</v>
      </c>
      <c r="D102" s="2" t="s">
        <v>235</v>
      </c>
      <c r="E102" s="2" t="s">
        <v>80</v>
      </c>
      <c r="F102" s="2" t="s">
        <v>81</v>
      </c>
      <c r="G102" s="2" t="s">
        <v>19</v>
      </c>
      <c r="H102" s="18">
        <v>2</v>
      </c>
      <c r="I102" s="10">
        <v>699.99</v>
      </c>
      <c r="J102" s="2" t="s">
        <v>26</v>
      </c>
      <c r="K102" s="2" t="s">
        <v>40</v>
      </c>
      <c r="L102" s="2" t="s">
        <v>27</v>
      </c>
      <c r="M102" s="14">
        <v>44421</v>
      </c>
      <c r="N102" s="12">
        <v>1399.98</v>
      </c>
    </row>
    <row r="103" spans="1:14" ht="24.9" customHeight="1" thickBot="1">
      <c r="A103" s="3" t="s">
        <v>236</v>
      </c>
      <c r="B103" s="14">
        <v>45537</v>
      </c>
      <c r="C103" s="2" t="s">
        <v>231</v>
      </c>
      <c r="D103" s="2" t="s">
        <v>232</v>
      </c>
      <c r="E103" s="2" t="s">
        <v>17</v>
      </c>
      <c r="F103" s="2" t="s">
        <v>18</v>
      </c>
      <c r="G103" s="2" t="s">
        <v>19</v>
      </c>
      <c r="H103" s="18">
        <v>1</v>
      </c>
      <c r="I103" s="10">
        <v>249.99</v>
      </c>
      <c r="J103" s="2" t="s">
        <v>26</v>
      </c>
      <c r="K103" s="2" t="s">
        <v>50</v>
      </c>
      <c r="L103" s="2" t="s">
        <v>27</v>
      </c>
      <c r="M103" s="14">
        <v>44685</v>
      </c>
      <c r="N103" s="12">
        <v>249.99</v>
      </c>
    </row>
    <row r="104" spans="1:14" ht="24.9" customHeight="1" thickBot="1">
      <c r="A104" s="3" t="s">
        <v>237</v>
      </c>
      <c r="B104" s="14">
        <v>45537</v>
      </c>
      <c r="C104" s="2" t="s">
        <v>15</v>
      </c>
      <c r="D104" s="2" t="s">
        <v>16</v>
      </c>
      <c r="E104" s="2" t="s">
        <v>17</v>
      </c>
      <c r="F104" s="2" t="s">
        <v>18</v>
      </c>
      <c r="G104" s="2" t="s">
        <v>19</v>
      </c>
      <c r="H104" s="18">
        <v>1</v>
      </c>
      <c r="I104" s="10">
        <v>249.99</v>
      </c>
      <c r="J104" s="2" t="s">
        <v>57</v>
      </c>
      <c r="K104" s="2" t="s">
        <v>40</v>
      </c>
      <c r="L104" s="2" t="s">
        <v>27</v>
      </c>
      <c r="M104" s="14">
        <v>45332</v>
      </c>
      <c r="N104" s="12">
        <v>249.99</v>
      </c>
    </row>
    <row r="105" spans="1:14" ht="24.9" customHeight="1" thickBot="1">
      <c r="A105" s="3" t="s">
        <v>238</v>
      </c>
      <c r="B105" s="14">
        <v>45538</v>
      </c>
      <c r="C105" s="2" t="s">
        <v>226</v>
      </c>
      <c r="D105" s="2" t="s">
        <v>227</v>
      </c>
      <c r="E105" s="2" t="s">
        <v>80</v>
      </c>
      <c r="F105" s="2" t="s">
        <v>81</v>
      </c>
      <c r="G105" s="2" t="s">
        <v>19</v>
      </c>
      <c r="H105" s="18">
        <v>2</v>
      </c>
      <c r="I105" s="10">
        <v>699.99</v>
      </c>
      <c r="J105" s="2" t="s">
        <v>57</v>
      </c>
      <c r="K105" s="2" t="s">
        <v>21</v>
      </c>
      <c r="L105" s="2" t="s">
        <v>27</v>
      </c>
      <c r="M105" s="14">
        <v>44870</v>
      </c>
      <c r="N105" s="12">
        <v>1399.98</v>
      </c>
    </row>
    <row r="106" spans="1:14" ht="24.9" customHeight="1" thickBot="1">
      <c r="A106" s="3" t="s">
        <v>239</v>
      </c>
      <c r="B106" s="14">
        <v>45541</v>
      </c>
      <c r="C106" s="2" t="s">
        <v>138</v>
      </c>
      <c r="D106" s="2" t="s">
        <v>139</v>
      </c>
      <c r="E106" s="2" t="s">
        <v>31</v>
      </c>
      <c r="F106" s="2" t="s">
        <v>32</v>
      </c>
      <c r="G106" s="2" t="s">
        <v>33</v>
      </c>
      <c r="H106" s="18">
        <v>3</v>
      </c>
      <c r="I106" s="10">
        <v>59.99</v>
      </c>
      <c r="J106" s="2" t="s">
        <v>26</v>
      </c>
      <c r="K106" s="2" t="s">
        <v>21</v>
      </c>
      <c r="L106" s="2" t="s">
        <v>27</v>
      </c>
      <c r="M106" s="14">
        <v>44717</v>
      </c>
      <c r="N106" s="12">
        <v>179.97</v>
      </c>
    </row>
    <row r="107" spans="1:14" ht="24.9" customHeight="1" thickBot="1">
      <c r="A107" s="3" t="s">
        <v>240</v>
      </c>
      <c r="B107" s="14">
        <v>45544</v>
      </c>
      <c r="C107" s="2" t="s">
        <v>132</v>
      </c>
      <c r="D107" s="2" t="s">
        <v>133</v>
      </c>
      <c r="E107" s="2" t="s">
        <v>31</v>
      </c>
      <c r="F107" s="2" t="s">
        <v>32</v>
      </c>
      <c r="G107" s="2" t="s">
        <v>33</v>
      </c>
      <c r="H107" s="18">
        <v>3</v>
      </c>
      <c r="I107" s="10">
        <v>59.99</v>
      </c>
      <c r="J107" s="2" t="s">
        <v>34</v>
      </c>
      <c r="K107" s="2" t="s">
        <v>63</v>
      </c>
      <c r="L107" s="2" t="s">
        <v>36</v>
      </c>
      <c r="M107" s="14">
        <v>44748</v>
      </c>
      <c r="N107" s="12">
        <v>179.97</v>
      </c>
    </row>
    <row r="108" spans="1:14" ht="24.9" customHeight="1" thickBot="1">
      <c r="A108" s="3" t="s">
        <v>241</v>
      </c>
      <c r="B108" s="14">
        <v>45544</v>
      </c>
      <c r="C108" s="2" t="s">
        <v>141</v>
      </c>
      <c r="D108" s="2" t="s">
        <v>142</v>
      </c>
      <c r="E108" s="2" t="s">
        <v>114</v>
      </c>
      <c r="F108" s="2" t="s">
        <v>115</v>
      </c>
      <c r="G108" s="2" t="s">
        <v>33</v>
      </c>
      <c r="H108" s="18">
        <v>4</v>
      </c>
      <c r="I108" s="10">
        <v>79.989999999999995</v>
      </c>
      <c r="J108" s="2" t="s">
        <v>20</v>
      </c>
      <c r="K108" s="2" t="s">
        <v>40</v>
      </c>
      <c r="L108" s="2" t="s">
        <v>22</v>
      </c>
      <c r="M108" s="14">
        <v>44530</v>
      </c>
      <c r="N108" s="12">
        <v>319.95999999999998</v>
      </c>
    </row>
    <row r="109" spans="1:14" ht="24.9" customHeight="1" thickBot="1">
      <c r="A109" s="3" t="s">
        <v>242</v>
      </c>
      <c r="B109" s="14">
        <v>45545</v>
      </c>
      <c r="C109" s="2" t="s">
        <v>55</v>
      </c>
      <c r="D109" s="2" t="s">
        <v>56</v>
      </c>
      <c r="E109" s="2" t="s">
        <v>114</v>
      </c>
      <c r="F109" s="2" t="s">
        <v>115</v>
      </c>
      <c r="G109" s="2" t="s">
        <v>33</v>
      </c>
      <c r="H109" s="18">
        <v>1</v>
      </c>
      <c r="I109" s="10">
        <v>79.989999999999995</v>
      </c>
      <c r="J109" s="2" t="s">
        <v>20</v>
      </c>
      <c r="K109" s="2" t="s">
        <v>50</v>
      </c>
      <c r="L109" s="2" t="s">
        <v>22</v>
      </c>
      <c r="M109" s="14">
        <v>44693</v>
      </c>
      <c r="N109" s="12">
        <v>79.989999999999995</v>
      </c>
    </row>
    <row r="110" spans="1:14" ht="24.9" customHeight="1" thickBot="1">
      <c r="A110" s="3" t="s">
        <v>243</v>
      </c>
      <c r="B110" s="14">
        <v>45547</v>
      </c>
      <c r="C110" s="2" t="s">
        <v>48</v>
      </c>
      <c r="D110" s="2" t="s">
        <v>49</v>
      </c>
      <c r="E110" s="2" t="s">
        <v>105</v>
      </c>
      <c r="F110" s="2" t="s">
        <v>106</v>
      </c>
      <c r="G110" s="2" t="s">
        <v>46</v>
      </c>
      <c r="H110" s="18">
        <v>3</v>
      </c>
      <c r="I110" s="10">
        <v>299.99</v>
      </c>
      <c r="J110" s="2" t="s">
        <v>26</v>
      </c>
      <c r="K110" s="2" t="s">
        <v>21</v>
      </c>
      <c r="L110" s="2" t="s">
        <v>27</v>
      </c>
      <c r="M110" s="14">
        <v>44494</v>
      </c>
      <c r="N110" s="12">
        <v>899.97</v>
      </c>
    </row>
    <row r="111" spans="1:14" ht="24.9" customHeight="1" thickBot="1">
      <c r="A111" s="3" t="s">
        <v>244</v>
      </c>
      <c r="B111" s="14">
        <v>45548</v>
      </c>
      <c r="C111" s="2" t="s">
        <v>38</v>
      </c>
      <c r="D111" s="2" t="s">
        <v>39</v>
      </c>
      <c r="E111" s="2" t="s">
        <v>117</v>
      </c>
      <c r="F111" s="2" t="s">
        <v>118</v>
      </c>
      <c r="G111" s="2" t="s">
        <v>19</v>
      </c>
      <c r="H111" s="18">
        <v>2</v>
      </c>
      <c r="I111" s="10">
        <v>89.99</v>
      </c>
      <c r="J111" s="2" t="s">
        <v>26</v>
      </c>
      <c r="K111" s="2" t="s">
        <v>35</v>
      </c>
      <c r="L111" s="2" t="s">
        <v>27</v>
      </c>
      <c r="M111" s="14">
        <v>44641</v>
      </c>
      <c r="N111" s="12">
        <v>179.98</v>
      </c>
    </row>
    <row r="112" spans="1:14" ht="24.9" customHeight="1" thickBot="1">
      <c r="A112" s="3" t="s">
        <v>245</v>
      </c>
      <c r="B112" s="14">
        <v>45550</v>
      </c>
      <c r="C112" s="2" t="s">
        <v>246</v>
      </c>
      <c r="D112" s="2" t="s">
        <v>247</v>
      </c>
      <c r="E112" s="2" t="s">
        <v>52</v>
      </c>
      <c r="F112" s="2" t="s">
        <v>53</v>
      </c>
      <c r="G112" s="2" t="s">
        <v>19</v>
      </c>
      <c r="H112" s="18">
        <v>4</v>
      </c>
      <c r="I112" s="10">
        <v>149.99</v>
      </c>
      <c r="J112" s="2" t="s">
        <v>20</v>
      </c>
      <c r="K112" s="2" t="s">
        <v>40</v>
      </c>
      <c r="L112" s="2" t="s">
        <v>22</v>
      </c>
      <c r="M112" s="14">
        <v>44909</v>
      </c>
      <c r="N112" s="12">
        <v>599.96</v>
      </c>
    </row>
    <row r="113" spans="1:14" ht="24.9" customHeight="1" thickBot="1">
      <c r="A113" s="3" t="s">
        <v>248</v>
      </c>
      <c r="B113" s="14">
        <v>45551</v>
      </c>
      <c r="C113" s="2" t="s">
        <v>65</v>
      </c>
      <c r="D113" s="2" t="s">
        <v>66</v>
      </c>
      <c r="E113" s="2" t="s">
        <v>17</v>
      </c>
      <c r="F113" s="2" t="s">
        <v>18</v>
      </c>
      <c r="G113" s="2" t="s">
        <v>19</v>
      </c>
      <c r="H113" s="18">
        <v>2</v>
      </c>
      <c r="I113" s="10">
        <v>249.99</v>
      </c>
      <c r="J113" s="2" t="s">
        <v>34</v>
      </c>
      <c r="K113" s="2" t="s">
        <v>35</v>
      </c>
      <c r="L113" s="2" t="s">
        <v>22</v>
      </c>
      <c r="M113" s="14">
        <v>44993</v>
      </c>
      <c r="N113" s="12">
        <v>499.98</v>
      </c>
    </row>
    <row r="114" spans="1:14" ht="24.9" customHeight="1" thickBot="1">
      <c r="A114" s="3" t="s">
        <v>249</v>
      </c>
      <c r="B114" s="14">
        <v>45551</v>
      </c>
      <c r="C114" s="2" t="s">
        <v>154</v>
      </c>
      <c r="D114" s="2" t="s">
        <v>155</v>
      </c>
      <c r="E114" s="2" t="s">
        <v>126</v>
      </c>
      <c r="F114" s="2" t="s">
        <v>127</v>
      </c>
      <c r="G114" s="2" t="s">
        <v>46</v>
      </c>
      <c r="H114" s="18">
        <v>4</v>
      </c>
      <c r="I114" s="10">
        <v>199.99</v>
      </c>
      <c r="J114" s="2" t="s">
        <v>57</v>
      </c>
      <c r="K114" s="2" t="s">
        <v>63</v>
      </c>
      <c r="L114" s="2" t="s">
        <v>22</v>
      </c>
      <c r="M114" s="14">
        <v>44458</v>
      </c>
      <c r="N114" s="12">
        <v>799.96</v>
      </c>
    </row>
    <row r="115" spans="1:14" ht="24.9" customHeight="1" thickBot="1">
      <c r="A115" s="3" t="s">
        <v>250</v>
      </c>
      <c r="B115" s="14">
        <v>45554</v>
      </c>
      <c r="C115" s="2" t="s">
        <v>147</v>
      </c>
      <c r="D115" s="2" t="s">
        <v>148</v>
      </c>
      <c r="E115" s="2" t="s">
        <v>117</v>
      </c>
      <c r="F115" s="2" t="s">
        <v>118</v>
      </c>
      <c r="G115" s="2" t="s">
        <v>19</v>
      </c>
      <c r="H115" s="18">
        <v>5</v>
      </c>
      <c r="I115" s="10">
        <v>89.99</v>
      </c>
      <c r="J115" s="2" t="s">
        <v>26</v>
      </c>
      <c r="K115" s="2" t="s">
        <v>63</v>
      </c>
      <c r="L115" s="2" t="s">
        <v>27</v>
      </c>
      <c r="M115" s="14">
        <v>44446</v>
      </c>
      <c r="N115" s="12">
        <v>449.95</v>
      </c>
    </row>
    <row r="116" spans="1:14" ht="24.9" customHeight="1" thickBot="1">
      <c r="A116" s="3" t="s">
        <v>251</v>
      </c>
      <c r="B116" s="14">
        <v>45554</v>
      </c>
      <c r="C116" s="2" t="s">
        <v>252</v>
      </c>
      <c r="D116" s="2" t="s">
        <v>253</v>
      </c>
      <c r="E116" s="2" t="s">
        <v>52</v>
      </c>
      <c r="F116" s="2" t="s">
        <v>53</v>
      </c>
      <c r="G116" s="2" t="s">
        <v>19</v>
      </c>
      <c r="H116" s="18">
        <v>1</v>
      </c>
      <c r="I116" s="10">
        <v>149.99</v>
      </c>
      <c r="J116" s="2" t="s">
        <v>34</v>
      </c>
      <c r="K116" s="2" t="s">
        <v>63</v>
      </c>
      <c r="L116" s="2" t="s">
        <v>36</v>
      </c>
      <c r="M116" s="14">
        <v>44482</v>
      </c>
      <c r="N116" s="12">
        <v>149.99</v>
      </c>
    </row>
    <row r="117" spans="1:14" ht="24.9" customHeight="1" thickBot="1">
      <c r="A117" s="3" t="s">
        <v>254</v>
      </c>
      <c r="B117" s="14">
        <v>45554</v>
      </c>
      <c r="C117" s="2" t="s">
        <v>72</v>
      </c>
      <c r="D117" s="2" t="s">
        <v>73</v>
      </c>
      <c r="E117" s="2" t="s">
        <v>80</v>
      </c>
      <c r="F117" s="2" t="s">
        <v>81</v>
      </c>
      <c r="G117" s="2" t="s">
        <v>19</v>
      </c>
      <c r="H117" s="18">
        <v>4</v>
      </c>
      <c r="I117" s="10">
        <v>699.99</v>
      </c>
      <c r="J117" s="2" t="s">
        <v>34</v>
      </c>
      <c r="K117" s="2" t="s">
        <v>35</v>
      </c>
      <c r="L117" s="2" t="s">
        <v>22</v>
      </c>
      <c r="M117" s="14">
        <v>44618</v>
      </c>
      <c r="N117" s="12">
        <v>2799.96</v>
      </c>
    </row>
    <row r="118" spans="1:14" ht="24.9" customHeight="1" thickBot="1">
      <c r="A118" s="3" t="s">
        <v>255</v>
      </c>
      <c r="B118" s="14">
        <v>45559</v>
      </c>
      <c r="C118" s="2" t="s">
        <v>234</v>
      </c>
      <c r="D118" s="2" t="s">
        <v>235</v>
      </c>
      <c r="E118" s="2" t="s">
        <v>61</v>
      </c>
      <c r="F118" s="2" t="s">
        <v>62</v>
      </c>
      <c r="G118" s="2" t="s">
        <v>19</v>
      </c>
      <c r="H118" s="18">
        <v>3</v>
      </c>
      <c r="I118" s="10">
        <v>899.99</v>
      </c>
      <c r="J118" s="2" t="s">
        <v>26</v>
      </c>
      <c r="K118" s="2" t="s">
        <v>40</v>
      </c>
      <c r="L118" s="2" t="s">
        <v>36</v>
      </c>
      <c r="M118" s="14">
        <v>45157</v>
      </c>
      <c r="N118" s="12">
        <v>2699.97</v>
      </c>
    </row>
    <row r="119" spans="1:14" ht="24.9" customHeight="1" thickBot="1">
      <c r="A119" s="3" t="s">
        <v>256</v>
      </c>
      <c r="B119" s="14">
        <v>45560</v>
      </c>
      <c r="C119" s="2" t="s">
        <v>112</v>
      </c>
      <c r="D119" s="2" t="s">
        <v>113</v>
      </c>
      <c r="E119" s="2" t="s">
        <v>44</v>
      </c>
      <c r="F119" s="2" t="s">
        <v>45</v>
      </c>
      <c r="G119" s="2" t="s">
        <v>46</v>
      </c>
      <c r="H119" s="18">
        <v>3</v>
      </c>
      <c r="I119" s="10">
        <v>149.99</v>
      </c>
      <c r="J119" s="2" t="s">
        <v>34</v>
      </c>
      <c r="K119" s="2" t="s">
        <v>63</v>
      </c>
      <c r="L119" s="2" t="s">
        <v>22</v>
      </c>
      <c r="M119" s="14">
        <v>44886</v>
      </c>
      <c r="N119" s="12">
        <v>449.97</v>
      </c>
    </row>
    <row r="120" spans="1:14" ht="24.9" customHeight="1" thickBot="1">
      <c r="A120" s="3" t="s">
        <v>257</v>
      </c>
      <c r="B120" s="14">
        <v>45563</v>
      </c>
      <c r="C120" s="2" t="s">
        <v>99</v>
      </c>
      <c r="D120" s="2" t="s">
        <v>100</v>
      </c>
      <c r="E120" s="2" t="s">
        <v>105</v>
      </c>
      <c r="F120" s="2" t="s">
        <v>106</v>
      </c>
      <c r="G120" s="2" t="s">
        <v>46</v>
      </c>
      <c r="H120" s="18">
        <v>2</v>
      </c>
      <c r="I120" s="10">
        <v>299.99</v>
      </c>
      <c r="J120" s="2" t="s">
        <v>57</v>
      </c>
      <c r="K120" s="2" t="s">
        <v>21</v>
      </c>
      <c r="L120" s="2" t="s">
        <v>22</v>
      </c>
      <c r="M120" s="14">
        <v>44569</v>
      </c>
      <c r="N120" s="12">
        <v>599.98</v>
      </c>
    </row>
    <row r="121" spans="1:14" ht="24.9" customHeight="1" thickBot="1">
      <c r="A121" s="3" t="s">
        <v>258</v>
      </c>
      <c r="B121" s="14">
        <v>45564</v>
      </c>
      <c r="C121" s="2" t="s">
        <v>259</v>
      </c>
      <c r="D121" s="2" t="s">
        <v>260</v>
      </c>
      <c r="E121" s="2" t="s">
        <v>126</v>
      </c>
      <c r="F121" s="2" t="s">
        <v>127</v>
      </c>
      <c r="G121" s="2" t="s">
        <v>46</v>
      </c>
      <c r="H121" s="18">
        <v>1</v>
      </c>
      <c r="I121" s="10">
        <v>199.99</v>
      </c>
      <c r="J121" s="2" t="s">
        <v>57</v>
      </c>
      <c r="K121" s="2" t="s">
        <v>63</v>
      </c>
      <c r="L121" s="2" t="s">
        <v>36</v>
      </c>
      <c r="M121" s="14">
        <v>44953</v>
      </c>
      <c r="N121" s="12">
        <v>199.99</v>
      </c>
    </row>
    <row r="122" spans="1:14" ht="24.9" customHeight="1" thickBot="1">
      <c r="A122" s="3" t="s">
        <v>261</v>
      </c>
      <c r="B122" s="14">
        <v>45566</v>
      </c>
      <c r="C122" s="2" t="s">
        <v>42</v>
      </c>
      <c r="D122" s="2" t="s">
        <v>43</v>
      </c>
      <c r="E122" s="2" t="s">
        <v>105</v>
      </c>
      <c r="F122" s="2" t="s">
        <v>106</v>
      </c>
      <c r="G122" s="2" t="s">
        <v>46</v>
      </c>
      <c r="H122" s="18">
        <v>4</v>
      </c>
      <c r="I122" s="10">
        <v>299.99</v>
      </c>
      <c r="J122" s="2" t="s">
        <v>20</v>
      </c>
      <c r="K122" s="2" t="s">
        <v>21</v>
      </c>
      <c r="L122" s="2" t="s">
        <v>27</v>
      </c>
      <c r="M122" s="14">
        <v>44460</v>
      </c>
      <c r="N122" s="12">
        <v>1199.96</v>
      </c>
    </row>
    <row r="123" spans="1:14" ht="24.9" customHeight="1" thickBot="1">
      <c r="A123" s="3" t="s">
        <v>262</v>
      </c>
      <c r="B123" s="14">
        <v>45572</v>
      </c>
      <c r="C123" s="2" t="s">
        <v>89</v>
      </c>
      <c r="D123" s="2" t="s">
        <v>90</v>
      </c>
      <c r="E123" s="2" t="s">
        <v>31</v>
      </c>
      <c r="F123" s="2" t="s">
        <v>32</v>
      </c>
      <c r="G123" s="2" t="s">
        <v>33</v>
      </c>
      <c r="H123" s="18">
        <v>2</v>
      </c>
      <c r="I123" s="10">
        <v>59.99</v>
      </c>
      <c r="J123" s="2" t="s">
        <v>26</v>
      </c>
      <c r="K123" s="2" t="s">
        <v>21</v>
      </c>
      <c r="L123" s="2" t="s">
        <v>22</v>
      </c>
      <c r="M123" s="14">
        <v>44579</v>
      </c>
      <c r="N123" s="12">
        <v>119.98</v>
      </c>
    </row>
    <row r="124" spans="1:14" ht="24.9" customHeight="1" thickBot="1">
      <c r="A124" s="3" t="s">
        <v>263</v>
      </c>
      <c r="B124" s="14">
        <v>45572</v>
      </c>
      <c r="C124" s="2" t="s">
        <v>234</v>
      </c>
      <c r="D124" s="2" t="s">
        <v>235</v>
      </c>
      <c r="E124" s="2" t="s">
        <v>52</v>
      </c>
      <c r="F124" s="2" t="s">
        <v>53</v>
      </c>
      <c r="G124" s="2" t="s">
        <v>19</v>
      </c>
      <c r="H124" s="18">
        <v>4</v>
      </c>
      <c r="I124" s="10">
        <v>149.99</v>
      </c>
      <c r="J124" s="2" t="s">
        <v>26</v>
      </c>
      <c r="K124" s="2" t="s">
        <v>40</v>
      </c>
      <c r="L124" s="2" t="s">
        <v>27</v>
      </c>
      <c r="M124" s="14">
        <v>45076</v>
      </c>
      <c r="N124" s="12">
        <v>599.96</v>
      </c>
    </row>
    <row r="125" spans="1:14" ht="24.9" customHeight="1" thickBot="1">
      <c r="A125" s="3" t="s">
        <v>264</v>
      </c>
      <c r="B125" s="14">
        <v>45573</v>
      </c>
      <c r="C125" s="2" t="s">
        <v>211</v>
      </c>
      <c r="D125" s="2" t="s">
        <v>212</v>
      </c>
      <c r="E125" s="2" t="s">
        <v>80</v>
      </c>
      <c r="F125" s="2" t="s">
        <v>81</v>
      </c>
      <c r="G125" s="2" t="s">
        <v>19</v>
      </c>
      <c r="H125" s="18">
        <v>2</v>
      </c>
      <c r="I125" s="10">
        <v>699.99</v>
      </c>
      <c r="J125" s="2" t="s">
        <v>57</v>
      </c>
      <c r="K125" s="2" t="s">
        <v>63</v>
      </c>
      <c r="L125" s="2" t="s">
        <v>27</v>
      </c>
      <c r="M125" s="14">
        <v>45274</v>
      </c>
      <c r="N125" s="12">
        <v>1399.98</v>
      </c>
    </row>
    <row r="126" spans="1:14" ht="24.9" customHeight="1" thickBot="1">
      <c r="A126" s="3" t="s">
        <v>265</v>
      </c>
      <c r="B126" s="14">
        <v>45573</v>
      </c>
      <c r="C126" s="2" t="s">
        <v>231</v>
      </c>
      <c r="D126" s="2" t="s">
        <v>232</v>
      </c>
      <c r="E126" s="2" t="s">
        <v>44</v>
      </c>
      <c r="F126" s="2" t="s">
        <v>45</v>
      </c>
      <c r="G126" s="2" t="s">
        <v>46</v>
      </c>
      <c r="H126" s="18">
        <v>3</v>
      </c>
      <c r="I126" s="10">
        <v>149.99</v>
      </c>
      <c r="J126" s="2" t="s">
        <v>26</v>
      </c>
      <c r="K126" s="2" t="s">
        <v>35</v>
      </c>
      <c r="L126" s="2" t="s">
        <v>36</v>
      </c>
      <c r="M126" s="14">
        <v>44940</v>
      </c>
      <c r="N126" s="12">
        <v>449.97</v>
      </c>
    </row>
    <row r="127" spans="1:14" ht="24.9" customHeight="1" thickBot="1">
      <c r="A127" s="3" t="s">
        <v>266</v>
      </c>
      <c r="B127" s="14">
        <v>45576</v>
      </c>
      <c r="C127" s="2" t="s">
        <v>147</v>
      </c>
      <c r="D127" s="2" t="s">
        <v>148</v>
      </c>
      <c r="E127" s="2" t="s">
        <v>105</v>
      </c>
      <c r="F127" s="2" t="s">
        <v>106</v>
      </c>
      <c r="G127" s="2" t="s">
        <v>46</v>
      </c>
      <c r="H127" s="18">
        <v>3</v>
      </c>
      <c r="I127" s="10">
        <v>299.99</v>
      </c>
      <c r="J127" s="2" t="s">
        <v>26</v>
      </c>
      <c r="K127" s="2" t="s">
        <v>21</v>
      </c>
      <c r="L127" s="2" t="s">
        <v>36</v>
      </c>
      <c r="M127" s="14">
        <v>45174</v>
      </c>
      <c r="N127" s="12">
        <v>899.97</v>
      </c>
    </row>
    <row r="128" spans="1:14" ht="24.9" customHeight="1" thickBot="1">
      <c r="A128" s="3" t="s">
        <v>267</v>
      </c>
      <c r="B128" s="14">
        <v>45579</v>
      </c>
      <c r="C128" s="2" t="s">
        <v>83</v>
      </c>
      <c r="D128" s="2" t="s">
        <v>84</v>
      </c>
      <c r="E128" s="2" t="s">
        <v>61</v>
      </c>
      <c r="F128" s="2" t="s">
        <v>62</v>
      </c>
      <c r="G128" s="2" t="s">
        <v>19</v>
      </c>
      <c r="H128" s="18">
        <v>3</v>
      </c>
      <c r="I128" s="10">
        <v>899.99</v>
      </c>
      <c r="J128" s="2" t="s">
        <v>34</v>
      </c>
      <c r="K128" s="2" t="s">
        <v>50</v>
      </c>
      <c r="L128" s="2" t="s">
        <v>22</v>
      </c>
      <c r="M128" s="14">
        <v>45215</v>
      </c>
      <c r="N128" s="12">
        <v>2699.97</v>
      </c>
    </row>
    <row r="129" spans="1:14" ht="24.9" customHeight="1" thickBot="1">
      <c r="A129" s="3" t="s">
        <v>268</v>
      </c>
      <c r="B129" s="14">
        <v>45581</v>
      </c>
      <c r="C129" s="2" t="s">
        <v>96</v>
      </c>
      <c r="D129" s="2" t="s">
        <v>97</v>
      </c>
      <c r="E129" s="2" t="s">
        <v>80</v>
      </c>
      <c r="F129" s="2" t="s">
        <v>81</v>
      </c>
      <c r="G129" s="2" t="s">
        <v>19</v>
      </c>
      <c r="H129" s="18">
        <v>5</v>
      </c>
      <c r="I129" s="10">
        <v>699.99</v>
      </c>
      <c r="J129" s="2" t="s">
        <v>20</v>
      </c>
      <c r="K129" s="2" t="s">
        <v>63</v>
      </c>
      <c r="L129" s="2" t="s">
        <v>36</v>
      </c>
      <c r="M129" s="14">
        <v>45008</v>
      </c>
      <c r="N129" s="12">
        <v>3499.95</v>
      </c>
    </row>
    <row r="130" spans="1:14" ht="24.9" customHeight="1" thickBot="1">
      <c r="A130" s="3" t="s">
        <v>269</v>
      </c>
      <c r="B130" s="14">
        <v>45581</v>
      </c>
      <c r="C130" s="2" t="s">
        <v>171</v>
      </c>
      <c r="D130" s="2" t="s">
        <v>172</v>
      </c>
      <c r="E130" s="2" t="s">
        <v>80</v>
      </c>
      <c r="F130" s="2" t="s">
        <v>81</v>
      </c>
      <c r="G130" s="2" t="s">
        <v>19</v>
      </c>
      <c r="H130" s="18">
        <v>4</v>
      </c>
      <c r="I130" s="10">
        <v>699.99</v>
      </c>
      <c r="J130" s="2" t="s">
        <v>26</v>
      </c>
      <c r="K130" s="2" t="s">
        <v>21</v>
      </c>
      <c r="L130" s="2" t="s">
        <v>22</v>
      </c>
      <c r="M130" s="14">
        <v>45385</v>
      </c>
      <c r="N130" s="12">
        <v>2799.96</v>
      </c>
    </row>
    <row r="131" spans="1:14" ht="24.9" customHeight="1" thickBot="1">
      <c r="A131" s="3" t="s">
        <v>270</v>
      </c>
      <c r="B131" s="14">
        <v>45581</v>
      </c>
      <c r="C131" s="2" t="s">
        <v>150</v>
      </c>
      <c r="D131" s="2" t="s">
        <v>151</v>
      </c>
      <c r="E131" s="2" t="s">
        <v>61</v>
      </c>
      <c r="F131" s="2" t="s">
        <v>62</v>
      </c>
      <c r="G131" s="2" t="s">
        <v>19</v>
      </c>
      <c r="H131" s="18">
        <v>1</v>
      </c>
      <c r="I131" s="10">
        <v>899.99</v>
      </c>
      <c r="J131" s="2" t="s">
        <v>26</v>
      </c>
      <c r="K131" s="2" t="s">
        <v>63</v>
      </c>
      <c r="L131" s="2" t="s">
        <v>36</v>
      </c>
      <c r="M131" s="14">
        <v>45369</v>
      </c>
      <c r="N131" s="12">
        <v>899.99</v>
      </c>
    </row>
    <row r="132" spans="1:14" ht="24.9" customHeight="1" thickBot="1">
      <c r="A132" s="3" t="s">
        <v>271</v>
      </c>
      <c r="B132" s="14">
        <v>45583</v>
      </c>
      <c r="C132" s="2" t="s">
        <v>226</v>
      </c>
      <c r="D132" s="2" t="s">
        <v>227</v>
      </c>
      <c r="E132" s="2" t="s">
        <v>52</v>
      </c>
      <c r="F132" s="2" t="s">
        <v>53</v>
      </c>
      <c r="G132" s="2" t="s">
        <v>19</v>
      </c>
      <c r="H132" s="18">
        <v>2</v>
      </c>
      <c r="I132" s="10">
        <v>149.99</v>
      </c>
      <c r="J132" s="2" t="s">
        <v>26</v>
      </c>
      <c r="K132" s="2" t="s">
        <v>50</v>
      </c>
      <c r="L132" s="2" t="s">
        <v>22</v>
      </c>
      <c r="M132" s="14">
        <v>44916</v>
      </c>
      <c r="N132" s="12">
        <v>299.98</v>
      </c>
    </row>
    <row r="133" spans="1:14" ht="24.9" customHeight="1" thickBot="1">
      <c r="A133" s="3" t="s">
        <v>272</v>
      </c>
      <c r="B133" s="14">
        <v>45586</v>
      </c>
      <c r="C133" s="2" t="s">
        <v>226</v>
      </c>
      <c r="D133" s="2" t="s">
        <v>227</v>
      </c>
      <c r="E133" s="2" t="s">
        <v>117</v>
      </c>
      <c r="F133" s="2" t="s">
        <v>118</v>
      </c>
      <c r="G133" s="2" t="s">
        <v>19</v>
      </c>
      <c r="H133" s="18">
        <v>3</v>
      </c>
      <c r="I133" s="10">
        <v>89.99</v>
      </c>
      <c r="J133" s="2" t="s">
        <v>34</v>
      </c>
      <c r="K133" s="2" t="s">
        <v>21</v>
      </c>
      <c r="L133" s="2" t="s">
        <v>22</v>
      </c>
      <c r="M133" s="14">
        <v>44551</v>
      </c>
      <c r="N133" s="12">
        <v>269.97000000000003</v>
      </c>
    </row>
    <row r="134" spans="1:14" ht="24.9" customHeight="1" thickBot="1">
      <c r="A134" s="3" t="s">
        <v>273</v>
      </c>
      <c r="B134" s="14">
        <v>45588</v>
      </c>
      <c r="C134" s="2" t="s">
        <v>38</v>
      </c>
      <c r="D134" s="2" t="s">
        <v>39</v>
      </c>
      <c r="E134" s="2" t="s">
        <v>52</v>
      </c>
      <c r="F134" s="2" t="s">
        <v>53</v>
      </c>
      <c r="G134" s="2" t="s">
        <v>19</v>
      </c>
      <c r="H134" s="18">
        <v>2</v>
      </c>
      <c r="I134" s="10">
        <v>149.99</v>
      </c>
      <c r="J134" s="2" t="s">
        <v>34</v>
      </c>
      <c r="K134" s="2" t="s">
        <v>21</v>
      </c>
      <c r="L134" s="2" t="s">
        <v>22</v>
      </c>
      <c r="M134" s="14">
        <v>44473</v>
      </c>
      <c r="N134" s="12">
        <v>299.98</v>
      </c>
    </row>
    <row r="135" spans="1:14" ht="24.9" customHeight="1" thickBot="1">
      <c r="A135" s="3" t="s">
        <v>274</v>
      </c>
      <c r="B135" s="14">
        <v>45588</v>
      </c>
      <c r="C135" s="2" t="s">
        <v>154</v>
      </c>
      <c r="D135" s="2" t="s">
        <v>155</v>
      </c>
      <c r="E135" s="2" t="s">
        <v>80</v>
      </c>
      <c r="F135" s="2" t="s">
        <v>81</v>
      </c>
      <c r="G135" s="2" t="s">
        <v>19</v>
      </c>
      <c r="H135" s="18">
        <v>2</v>
      </c>
      <c r="I135" s="10">
        <v>699.99</v>
      </c>
      <c r="J135" s="2" t="s">
        <v>20</v>
      </c>
      <c r="K135" s="2" t="s">
        <v>21</v>
      </c>
      <c r="L135" s="2" t="s">
        <v>22</v>
      </c>
      <c r="M135" s="14">
        <v>44992</v>
      </c>
      <c r="N135" s="12">
        <v>1399.98</v>
      </c>
    </row>
    <row r="136" spans="1:14" ht="24.9" customHeight="1" thickBot="1">
      <c r="A136" s="3" t="s">
        <v>275</v>
      </c>
      <c r="B136" s="14">
        <v>45589</v>
      </c>
      <c r="C136" s="2" t="s">
        <v>158</v>
      </c>
      <c r="D136" s="2" t="s">
        <v>159</v>
      </c>
      <c r="E136" s="2" t="s">
        <v>80</v>
      </c>
      <c r="F136" s="2" t="s">
        <v>81</v>
      </c>
      <c r="G136" s="2" t="s">
        <v>19</v>
      </c>
      <c r="H136" s="18">
        <v>5</v>
      </c>
      <c r="I136" s="10">
        <v>699.99</v>
      </c>
      <c r="J136" s="2" t="s">
        <v>20</v>
      </c>
      <c r="K136" s="2" t="s">
        <v>40</v>
      </c>
      <c r="L136" s="2" t="s">
        <v>27</v>
      </c>
      <c r="M136" s="14">
        <v>44635</v>
      </c>
      <c r="N136" s="12">
        <v>3499.95</v>
      </c>
    </row>
    <row r="137" spans="1:14" ht="24.9" customHeight="1" thickBot="1">
      <c r="A137" s="3" t="s">
        <v>276</v>
      </c>
      <c r="B137" s="14">
        <v>45592</v>
      </c>
      <c r="C137" s="2" t="s">
        <v>171</v>
      </c>
      <c r="D137" s="2" t="s">
        <v>172</v>
      </c>
      <c r="E137" s="2" t="s">
        <v>117</v>
      </c>
      <c r="F137" s="2" t="s">
        <v>118</v>
      </c>
      <c r="G137" s="2" t="s">
        <v>19</v>
      </c>
      <c r="H137" s="18">
        <v>3</v>
      </c>
      <c r="I137" s="10">
        <v>89.99</v>
      </c>
      <c r="J137" s="2" t="s">
        <v>26</v>
      </c>
      <c r="K137" s="2" t="s">
        <v>40</v>
      </c>
      <c r="L137" s="2" t="s">
        <v>36</v>
      </c>
      <c r="M137" s="14">
        <v>44615</v>
      </c>
      <c r="N137" s="12">
        <v>269.97000000000003</v>
      </c>
    </row>
    <row r="138" spans="1:14" ht="24.9" customHeight="1" thickBot="1">
      <c r="A138" s="3" t="s">
        <v>277</v>
      </c>
      <c r="B138" s="14">
        <v>45597</v>
      </c>
      <c r="C138" s="2" t="s">
        <v>15</v>
      </c>
      <c r="D138" s="2" t="s">
        <v>16</v>
      </c>
      <c r="E138" s="2" t="s">
        <v>17</v>
      </c>
      <c r="F138" s="2" t="s">
        <v>18</v>
      </c>
      <c r="G138" s="2" t="s">
        <v>19</v>
      </c>
      <c r="H138" s="18">
        <v>5</v>
      </c>
      <c r="I138" s="10">
        <v>249.99</v>
      </c>
      <c r="J138" s="2" t="s">
        <v>26</v>
      </c>
      <c r="K138" s="2" t="s">
        <v>35</v>
      </c>
      <c r="L138" s="2" t="s">
        <v>36</v>
      </c>
      <c r="M138" s="14">
        <v>44881</v>
      </c>
      <c r="N138" s="12">
        <v>1249.95</v>
      </c>
    </row>
    <row r="139" spans="1:14" ht="24.9" customHeight="1" thickBot="1">
      <c r="A139" s="3" t="s">
        <v>278</v>
      </c>
      <c r="B139" s="14">
        <v>45600</v>
      </c>
      <c r="C139" s="2" t="s">
        <v>65</v>
      </c>
      <c r="D139" s="2" t="s">
        <v>66</v>
      </c>
      <c r="E139" s="2" t="s">
        <v>105</v>
      </c>
      <c r="F139" s="2" t="s">
        <v>106</v>
      </c>
      <c r="G139" s="2" t="s">
        <v>46</v>
      </c>
      <c r="H139" s="18">
        <v>3</v>
      </c>
      <c r="I139" s="10">
        <v>299.99</v>
      </c>
      <c r="J139" s="2" t="s">
        <v>26</v>
      </c>
      <c r="K139" s="2" t="s">
        <v>35</v>
      </c>
      <c r="L139" s="2" t="s">
        <v>36</v>
      </c>
      <c r="M139" s="14">
        <v>44502</v>
      </c>
      <c r="N139" s="12">
        <v>899.97</v>
      </c>
    </row>
    <row r="140" spans="1:14" ht="24.9" customHeight="1" thickBot="1">
      <c r="A140" s="3" t="s">
        <v>279</v>
      </c>
      <c r="B140" s="14">
        <v>45603</v>
      </c>
      <c r="C140" s="2" t="s">
        <v>99</v>
      </c>
      <c r="D140" s="2" t="s">
        <v>100</v>
      </c>
      <c r="E140" s="2" t="s">
        <v>117</v>
      </c>
      <c r="F140" s="2" t="s">
        <v>118</v>
      </c>
      <c r="G140" s="2" t="s">
        <v>19</v>
      </c>
      <c r="H140" s="18">
        <v>3</v>
      </c>
      <c r="I140" s="10">
        <v>89.99</v>
      </c>
      <c r="J140" s="2" t="s">
        <v>26</v>
      </c>
      <c r="K140" s="2" t="s">
        <v>40</v>
      </c>
      <c r="L140" s="2" t="s">
        <v>27</v>
      </c>
      <c r="M140" s="14">
        <v>44420</v>
      </c>
      <c r="N140" s="12">
        <v>269.97000000000003</v>
      </c>
    </row>
    <row r="141" spans="1:14" ht="24.9" customHeight="1" thickBot="1">
      <c r="A141" s="3" t="s">
        <v>280</v>
      </c>
      <c r="B141" s="14">
        <v>45604</v>
      </c>
      <c r="C141" s="2" t="s">
        <v>89</v>
      </c>
      <c r="D141" s="2" t="s">
        <v>90</v>
      </c>
      <c r="E141" s="2" t="s">
        <v>44</v>
      </c>
      <c r="F141" s="2" t="s">
        <v>45</v>
      </c>
      <c r="G141" s="2" t="s">
        <v>46</v>
      </c>
      <c r="H141" s="18">
        <v>2</v>
      </c>
      <c r="I141" s="10">
        <v>149.99</v>
      </c>
      <c r="J141" s="2" t="s">
        <v>26</v>
      </c>
      <c r="K141" s="2" t="s">
        <v>50</v>
      </c>
      <c r="L141" s="2" t="s">
        <v>27</v>
      </c>
      <c r="M141" s="14">
        <v>44848</v>
      </c>
      <c r="N141" s="12">
        <v>299.98</v>
      </c>
    </row>
    <row r="142" spans="1:14" ht="24.9" customHeight="1" thickBot="1">
      <c r="A142" s="3" t="s">
        <v>281</v>
      </c>
      <c r="B142" s="14">
        <v>45605</v>
      </c>
      <c r="C142" s="2" t="s">
        <v>185</v>
      </c>
      <c r="D142" s="2" t="s">
        <v>186</v>
      </c>
      <c r="E142" s="2" t="s">
        <v>17</v>
      </c>
      <c r="F142" s="2" t="s">
        <v>18</v>
      </c>
      <c r="G142" s="2" t="s">
        <v>19</v>
      </c>
      <c r="H142" s="18">
        <v>1</v>
      </c>
      <c r="I142" s="10">
        <v>249.99</v>
      </c>
      <c r="J142" s="2" t="s">
        <v>26</v>
      </c>
      <c r="K142" s="2" t="s">
        <v>40</v>
      </c>
      <c r="L142" s="2" t="s">
        <v>27</v>
      </c>
      <c r="M142" s="14">
        <v>44828</v>
      </c>
      <c r="N142" s="12">
        <v>249.99</v>
      </c>
    </row>
    <row r="143" spans="1:14" ht="24.9" customHeight="1" thickBot="1">
      <c r="A143" s="3" t="s">
        <v>282</v>
      </c>
      <c r="B143" s="14">
        <v>45607</v>
      </c>
      <c r="C143" s="2" t="s">
        <v>72</v>
      </c>
      <c r="D143" s="2" t="s">
        <v>73</v>
      </c>
      <c r="E143" s="2" t="s">
        <v>52</v>
      </c>
      <c r="F143" s="2" t="s">
        <v>53</v>
      </c>
      <c r="G143" s="2" t="s">
        <v>19</v>
      </c>
      <c r="H143" s="18">
        <v>3</v>
      </c>
      <c r="I143" s="10">
        <v>149.99</v>
      </c>
      <c r="J143" s="2" t="s">
        <v>20</v>
      </c>
      <c r="K143" s="2" t="s">
        <v>40</v>
      </c>
      <c r="L143" s="2" t="s">
        <v>22</v>
      </c>
      <c r="M143" s="14">
        <v>44769</v>
      </c>
      <c r="N143" s="12">
        <v>449.97</v>
      </c>
    </row>
    <row r="144" spans="1:14" ht="24.9" customHeight="1" thickBot="1">
      <c r="A144" s="3" t="s">
        <v>283</v>
      </c>
      <c r="B144" s="14">
        <v>45607</v>
      </c>
      <c r="C144" s="2" t="s">
        <v>15</v>
      </c>
      <c r="D144" s="2" t="s">
        <v>16</v>
      </c>
      <c r="E144" s="2" t="s">
        <v>31</v>
      </c>
      <c r="F144" s="2" t="s">
        <v>32</v>
      </c>
      <c r="G144" s="2" t="s">
        <v>33</v>
      </c>
      <c r="H144" s="18">
        <v>5</v>
      </c>
      <c r="I144" s="10">
        <v>59.99</v>
      </c>
      <c r="J144" s="2" t="s">
        <v>34</v>
      </c>
      <c r="K144" s="2" t="s">
        <v>50</v>
      </c>
      <c r="L144" s="2" t="s">
        <v>27</v>
      </c>
      <c r="M144" s="14">
        <v>44694</v>
      </c>
      <c r="N144" s="12">
        <v>299.95</v>
      </c>
    </row>
    <row r="145" spans="1:14" ht="24.9" customHeight="1" thickBot="1">
      <c r="A145" s="3" t="s">
        <v>284</v>
      </c>
      <c r="B145" s="14">
        <v>45607</v>
      </c>
      <c r="C145" s="2" t="s">
        <v>99</v>
      </c>
      <c r="D145" s="2" t="s">
        <v>100</v>
      </c>
      <c r="E145" s="2" t="s">
        <v>17</v>
      </c>
      <c r="F145" s="2" t="s">
        <v>18</v>
      </c>
      <c r="G145" s="2" t="s">
        <v>19</v>
      </c>
      <c r="H145" s="18">
        <v>4</v>
      </c>
      <c r="I145" s="10">
        <v>249.99</v>
      </c>
      <c r="J145" s="2" t="s">
        <v>26</v>
      </c>
      <c r="K145" s="2" t="s">
        <v>50</v>
      </c>
      <c r="L145" s="2" t="s">
        <v>36</v>
      </c>
      <c r="M145" s="14">
        <v>44659</v>
      </c>
      <c r="N145" s="12">
        <v>999.96</v>
      </c>
    </row>
    <row r="146" spans="1:14" ht="24.9" customHeight="1" thickBot="1">
      <c r="A146" s="3" t="s">
        <v>285</v>
      </c>
      <c r="B146" s="14">
        <v>45608</v>
      </c>
      <c r="C146" s="2" t="s">
        <v>154</v>
      </c>
      <c r="D146" s="2" t="s">
        <v>155</v>
      </c>
      <c r="E146" s="2" t="s">
        <v>44</v>
      </c>
      <c r="F146" s="2" t="s">
        <v>45</v>
      </c>
      <c r="G146" s="2" t="s">
        <v>46</v>
      </c>
      <c r="H146" s="18">
        <v>5</v>
      </c>
      <c r="I146" s="10">
        <v>149.99</v>
      </c>
      <c r="J146" s="2" t="s">
        <v>34</v>
      </c>
      <c r="K146" s="2" t="s">
        <v>21</v>
      </c>
      <c r="L146" s="2" t="s">
        <v>22</v>
      </c>
      <c r="M146" s="14">
        <v>44901</v>
      </c>
      <c r="N146" s="12">
        <v>749.95</v>
      </c>
    </row>
    <row r="147" spans="1:14" ht="24.9" customHeight="1" thickBot="1">
      <c r="A147" s="3" t="s">
        <v>286</v>
      </c>
      <c r="B147" s="14">
        <v>45608</v>
      </c>
      <c r="C147" s="2" t="s">
        <v>83</v>
      </c>
      <c r="D147" s="2" t="s">
        <v>84</v>
      </c>
      <c r="E147" s="2" t="s">
        <v>31</v>
      </c>
      <c r="F147" s="2" t="s">
        <v>32</v>
      </c>
      <c r="G147" s="2" t="s">
        <v>33</v>
      </c>
      <c r="H147" s="18">
        <v>3</v>
      </c>
      <c r="I147" s="10">
        <v>59.99</v>
      </c>
      <c r="J147" s="2" t="s">
        <v>57</v>
      </c>
      <c r="K147" s="2" t="s">
        <v>35</v>
      </c>
      <c r="L147" s="2" t="s">
        <v>36</v>
      </c>
      <c r="M147" s="14">
        <v>45260</v>
      </c>
      <c r="N147" s="12">
        <v>179.97</v>
      </c>
    </row>
    <row r="148" spans="1:14" ht="24.9" customHeight="1" thickBot="1">
      <c r="A148" s="3" t="s">
        <v>287</v>
      </c>
      <c r="B148" s="14">
        <v>45613</v>
      </c>
      <c r="C148" s="2" t="s">
        <v>234</v>
      </c>
      <c r="D148" s="2" t="s">
        <v>235</v>
      </c>
      <c r="E148" s="2" t="s">
        <v>44</v>
      </c>
      <c r="F148" s="2" t="s">
        <v>45</v>
      </c>
      <c r="G148" s="2" t="s">
        <v>46</v>
      </c>
      <c r="H148" s="18">
        <v>5</v>
      </c>
      <c r="I148" s="10">
        <v>149.99</v>
      </c>
      <c r="J148" s="2" t="s">
        <v>20</v>
      </c>
      <c r="K148" s="2" t="s">
        <v>40</v>
      </c>
      <c r="L148" s="2" t="s">
        <v>22</v>
      </c>
      <c r="M148" s="14">
        <v>44869</v>
      </c>
      <c r="N148" s="12">
        <v>749.95</v>
      </c>
    </row>
    <row r="149" spans="1:14" ht="24.9" customHeight="1" thickBot="1">
      <c r="A149" s="3" t="s">
        <v>288</v>
      </c>
      <c r="B149" s="14">
        <v>45613</v>
      </c>
      <c r="C149" s="2" t="s">
        <v>86</v>
      </c>
      <c r="D149" s="2" t="s">
        <v>87</v>
      </c>
      <c r="E149" s="2" t="s">
        <v>80</v>
      </c>
      <c r="F149" s="2" t="s">
        <v>81</v>
      </c>
      <c r="G149" s="2" t="s">
        <v>19</v>
      </c>
      <c r="H149" s="18">
        <v>2</v>
      </c>
      <c r="I149" s="10">
        <v>699.99</v>
      </c>
      <c r="J149" s="2" t="s">
        <v>34</v>
      </c>
      <c r="K149" s="2" t="s">
        <v>50</v>
      </c>
      <c r="L149" s="2" t="s">
        <v>36</v>
      </c>
      <c r="M149" s="14">
        <v>44770</v>
      </c>
      <c r="N149" s="12">
        <v>1399.98</v>
      </c>
    </row>
    <row r="150" spans="1:14" ht="24.9" customHeight="1" thickBot="1">
      <c r="A150" s="3" t="s">
        <v>289</v>
      </c>
      <c r="B150" s="14">
        <v>45617</v>
      </c>
      <c r="C150" s="2" t="s">
        <v>123</v>
      </c>
      <c r="D150" s="2" t="s">
        <v>124</v>
      </c>
      <c r="E150" s="2" t="s">
        <v>126</v>
      </c>
      <c r="F150" s="2" t="s">
        <v>127</v>
      </c>
      <c r="G150" s="2" t="s">
        <v>46</v>
      </c>
      <c r="H150" s="18">
        <v>4</v>
      </c>
      <c r="I150" s="10">
        <v>199.99</v>
      </c>
      <c r="J150" s="2" t="s">
        <v>57</v>
      </c>
      <c r="K150" s="2" t="s">
        <v>21</v>
      </c>
      <c r="L150" s="2" t="s">
        <v>27</v>
      </c>
      <c r="M150" s="14">
        <v>44427</v>
      </c>
      <c r="N150" s="12">
        <v>799.96</v>
      </c>
    </row>
    <row r="151" spans="1:14" ht="24.9" customHeight="1" thickBot="1">
      <c r="A151" s="3" t="s">
        <v>290</v>
      </c>
      <c r="B151" s="14">
        <v>45619</v>
      </c>
      <c r="C151" s="2" t="s">
        <v>192</v>
      </c>
      <c r="D151" s="2" t="s">
        <v>193</v>
      </c>
      <c r="E151" s="2" t="s">
        <v>31</v>
      </c>
      <c r="F151" s="2" t="s">
        <v>32</v>
      </c>
      <c r="G151" s="2" t="s">
        <v>33</v>
      </c>
      <c r="H151" s="18">
        <v>1</v>
      </c>
      <c r="I151" s="10">
        <v>59.99</v>
      </c>
      <c r="J151" s="2" t="s">
        <v>57</v>
      </c>
      <c r="K151" s="2" t="s">
        <v>50</v>
      </c>
      <c r="L151" s="2" t="s">
        <v>36</v>
      </c>
      <c r="M151" s="14">
        <v>44560</v>
      </c>
      <c r="N151" s="12">
        <v>59.99</v>
      </c>
    </row>
    <row r="152" spans="1:14" ht="24.9" customHeight="1" thickBot="1">
      <c r="A152" s="3" t="s">
        <v>291</v>
      </c>
      <c r="B152" s="14">
        <v>45619</v>
      </c>
      <c r="C152" s="2" t="s">
        <v>154</v>
      </c>
      <c r="D152" s="2" t="s">
        <v>155</v>
      </c>
      <c r="E152" s="2" t="s">
        <v>80</v>
      </c>
      <c r="F152" s="2" t="s">
        <v>81</v>
      </c>
      <c r="G152" s="2" t="s">
        <v>19</v>
      </c>
      <c r="H152" s="18">
        <v>3</v>
      </c>
      <c r="I152" s="10">
        <v>699.99</v>
      </c>
      <c r="J152" s="2" t="s">
        <v>34</v>
      </c>
      <c r="K152" s="2" t="s">
        <v>50</v>
      </c>
      <c r="L152" s="2" t="s">
        <v>36</v>
      </c>
      <c r="M152" s="14">
        <v>44583</v>
      </c>
      <c r="N152" s="12">
        <v>2099.9699999999998</v>
      </c>
    </row>
    <row r="153" spans="1:14" ht="24.9" customHeight="1" thickBot="1">
      <c r="A153" s="3" t="s">
        <v>292</v>
      </c>
      <c r="B153" s="14">
        <v>45622</v>
      </c>
      <c r="C153" s="2" t="s">
        <v>293</v>
      </c>
      <c r="D153" s="2" t="s">
        <v>294</v>
      </c>
      <c r="E153" s="2" t="s">
        <v>17</v>
      </c>
      <c r="F153" s="2" t="s">
        <v>18</v>
      </c>
      <c r="G153" s="2" t="s">
        <v>19</v>
      </c>
      <c r="H153" s="18">
        <v>5</v>
      </c>
      <c r="I153" s="10">
        <v>249.99</v>
      </c>
      <c r="J153" s="2" t="s">
        <v>26</v>
      </c>
      <c r="K153" s="2" t="s">
        <v>40</v>
      </c>
      <c r="L153" s="2" t="s">
        <v>22</v>
      </c>
      <c r="M153" s="14">
        <v>44873</v>
      </c>
      <c r="N153" s="12">
        <v>1249.95</v>
      </c>
    </row>
    <row r="154" spans="1:14" ht="24.9" customHeight="1" thickBot="1">
      <c r="A154" s="3" t="s">
        <v>295</v>
      </c>
      <c r="B154" s="14">
        <v>45623</v>
      </c>
      <c r="C154" s="2" t="s">
        <v>112</v>
      </c>
      <c r="D154" s="2" t="s">
        <v>113</v>
      </c>
      <c r="E154" s="2" t="s">
        <v>44</v>
      </c>
      <c r="F154" s="2" t="s">
        <v>45</v>
      </c>
      <c r="G154" s="2" t="s">
        <v>46</v>
      </c>
      <c r="H154" s="18">
        <v>2</v>
      </c>
      <c r="I154" s="10">
        <v>149.99</v>
      </c>
      <c r="J154" s="2" t="s">
        <v>20</v>
      </c>
      <c r="K154" s="2" t="s">
        <v>35</v>
      </c>
      <c r="L154" s="2" t="s">
        <v>36</v>
      </c>
      <c r="M154" s="14">
        <v>45101</v>
      </c>
      <c r="N154" s="12">
        <v>299.98</v>
      </c>
    </row>
    <row r="155" spans="1:14" ht="24.9" customHeight="1" thickBot="1">
      <c r="A155" s="3" t="s">
        <v>296</v>
      </c>
      <c r="B155" s="14">
        <v>45627</v>
      </c>
      <c r="C155" s="2" t="s">
        <v>29</v>
      </c>
      <c r="D155" s="2" t="s">
        <v>30</v>
      </c>
      <c r="E155" s="2" t="s">
        <v>105</v>
      </c>
      <c r="F155" s="2" t="s">
        <v>106</v>
      </c>
      <c r="G155" s="2" t="s">
        <v>46</v>
      </c>
      <c r="H155" s="18">
        <v>3</v>
      </c>
      <c r="I155" s="10">
        <v>299.99</v>
      </c>
      <c r="J155" s="2" t="s">
        <v>20</v>
      </c>
      <c r="K155" s="2" t="s">
        <v>35</v>
      </c>
      <c r="L155" s="2" t="s">
        <v>27</v>
      </c>
      <c r="M155" s="14">
        <v>44659</v>
      </c>
      <c r="N155" s="12">
        <v>899.97</v>
      </c>
    </row>
    <row r="156" spans="1:14" ht="24.9" customHeight="1" thickBot="1">
      <c r="A156" s="3" t="s">
        <v>297</v>
      </c>
      <c r="B156" s="14">
        <v>45627</v>
      </c>
      <c r="C156" s="2" t="s">
        <v>55</v>
      </c>
      <c r="D156" s="2" t="s">
        <v>56</v>
      </c>
      <c r="E156" s="2" t="s">
        <v>17</v>
      </c>
      <c r="F156" s="2" t="s">
        <v>18</v>
      </c>
      <c r="G156" s="2" t="s">
        <v>19</v>
      </c>
      <c r="H156" s="18">
        <v>5</v>
      </c>
      <c r="I156" s="10">
        <v>249.99</v>
      </c>
      <c r="J156" s="2" t="s">
        <v>20</v>
      </c>
      <c r="K156" s="2" t="s">
        <v>21</v>
      </c>
      <c r="L156" s="2" t="s">
        <v>27</v>
      </c>
      <c r="M156" s="14">
        <v>44485</v>
      </c>
      <c r="N156" s="12">
        <v>1249.95</v>
      </c>
    </row>
    <row r="157" spans="1:14" ht="24.9" customHeight="1" thickBot="1">
      <c r="A157" s="3" t="s">
        <v>298</v>
      </c>
      <c r="B157" s="14">
        <v>45627</v>
      </c>
      <c r="C157" s="2" t="s">
        <v>24</v>
      </c>
      <c r="D157" s="2" t="s">
        <v>25</v>
      </c>
      <c r="E157" s="2" t="s">
        <v>52</v>
      </c>
      <c r="F157" s="2" t="s">
        <v>53</v>
      </c>
      <c r="G157" s="2" t="s">
        <v>19</v>
      </c>
      <c r="H157" s="18">
        <v>2</v>
      </c>
      <c r="I157" s="10">
        <v>149.99</v>
      </c>
      <c r="J157" s="2" t="s">
        <v>20</v>
      </c>
      <c r="K157" s="2" t="s">
        <v>35</v>
      </c>
      <c r="L157" s="2" t="s">
        <v>27</v>
      </c>
      <c r="M157" s="14">
        <v>44475</v>
      </c>
      <c r="N157" s="12">
        <v>299.98</v>
      </c>
    </row>
    <row r="158" spans="1:14" ht="24.9" customHeight="1" thickBot="1">
      <c r="A158" s="3" t="s">
        <v>299</v>
      </c>
      <c r="B158" s="14">
        <v>45627</v>
      </c>
      <c r="C158" s="2" t="s">
        <v>86</v>
      </c>
      <c r="D158" s="2" t="s">
        <v>87</v>
      </c>
      <c r="E158" s="2" t="s">
        <v>80</v>
      </c>
      <c r="F158" s="2" t="s">
        <v>81</v>
      </c>
      <c r="G158" s="2" t="s">
        <v>19</v>
      </c>
      <c r="H158" s="18">
        <v>5</v>
      </c>
      <c r="I158" s="10">
        <v>699.99</v>
      </c>
      <c r="J158" s="2" t="s">
        <v>57</v>
      </c>
      <c r="K158" s="2" t="s">
        <v>50</v>
      </c>
      <c r="L158" s="2" t="s">
        <v>36</v>
      </c>
      <c r="M158" s="14">
        <v>44944</v>
      </c>
      <c r="N158" s="12">
        <v>3499.95</v>
      </c>
    </row>
    <row r="159" spans="1:14" ht="24.9" customHeight="1" thickBot="1">
      <c r="A159" s="3" t="s">
        <v>300</v>
      </c>
      <c r="B159" s="14">
        <v>45629</v>
      </c>
      <c r="C159" s="2" t="s">
        <v>252</v>
      </c>
      <c r="D159" s="2" t="s">
        <v>253</v>
      </c>
      <c r="E159" s="2" t="s">
        <v>17</v>
      </c>
      <c r="F159" s="2" t="s">
        <v>18</v>
      </c>
      <c r="G159" s="2" t="s">
        <v>19</v>
      </c>
      <c r="H159" s="18">
        <v>4</v>
      </c>
      <c r="I159" s="10">
        <v>249.99</v>
      </c>
      <c r="J159" s="2" t="s">
        <v>34</v>
      </c>
      <c r="K159" s="2" t="s">
        <v>63</v>
      </c>
      <c r="L159" s="2" t="s">
        <v>27</v>
      </c>
      <c r="M159" s="14">
        <v>45098</v>
      </c>
      <c r="N159" s="12">
        <v>999.96</v>
      </c>
    </row>
    <row r="160" spans="1:14" ht="24.9" customHeight="1" thickBot="1">
      <c r="A160" s="3" t="s">
        <v>301</v>
      </c>
      <c r="B160" s="14">
        <v>45630</v>
      </c>
      <c r="C160" s="2" t="s">
        <v>48</v>
      </c>
      <c r="D160" s="2" t="s">
        <v>49</v>
      </c>
      <c r="E160" s="2" t="s">
        <v>80</v>
      </c>
      <c r="F160" s="2" t="s">
        <v>81</v>
      </c>
      <c r="G160" s="2" t="s">
        <v>19</v>
      </c>
      <c r="H160" s="18">
        <v>4</v>
      </c>
      <c r="I160" s="10">
        <v>699.99</v>
      </c>
      <c r="J160" s="2" t="s">
        <v>26</v>
      </c>
      <c r="K160" s="2" t="s">
        <v>40</v>
      </c>
      <c r="L160" s="2" t="s">
        <v>27</v>
      </c>
      <c r="M160" s="14">
        <v>44703</v>
      </c>
      <c r="N160" s="12">
        <v>2799.96</v>
      </c>
    </row>
    <row r="161" spans="1:14" ht="24.9" customHeight="1" thickBot="1">
      <c r="A161" s="3" t="s">
        <v>302</v>
      </c>
      <c r="B161" s="14">
        <v>45635</v>
      </c>
      <c r="C161" s="2" t="s">
        <v>108</v>
      </c>
      <c r="D161" s="2" t="s">
        <v>109</v>
      </c>
      <c r="E161" s="2" t="s">
        <v>17</v>
      </c>
      <c r="F161" s="2" t="s">
        <v>18</v>
      </c>
      <c r="G161" s="2" t="s">
        <v>19</v>
      </c>
      <c r="H161" s="18">
        <v>2</v>
      </c>
      <c r="I161" s="10">
        <v>249.99</v>
      </c>
      <c r="J161" s="2" t="s">
        <v>26</v>
      </c>
      <c r="K161" s="2" t="s">
        <v>21</v>
      </c>
      <c r="L161" s="2" t="s">
        <v>27</v>
      </c>
      <c r="M161" s="14">
        <v>44396</v>
      </c>
      <c r="N161" s="12">
        <v>499.98</v>
      </c>
    </row>
    <row r="162" spans="1:14" ht="24.9" customHeight="1" thickBot="1">
      <c r="A162" s="3" t="s">
        <v>303</v>
      </c>
      <c r="B162" s="14">
        <v>45635</v>
      </c>
      <c r="C162" s="2" t="s">
        <v>304</v>
      </c>
      <c r="D162" s="2" t="s">
        <v>305</v>
      </c>
      <c r="E162" s="2" t="s">
        <v>31</v>
      </c>
      <c r="F162" s="2" t="s">
        <v>32</v>
      </c>
      <c r="G162" s="2" t="s">
        <v>33</v>
      </c>
      <c r="H162" s="18">
        <v>3</v>
      </c>
      <c r="I162" s="10">
        <v>59.99</v>
      </c>
      <c r="J162" s="2" t="s">
        <v>20</v>
      </c>
      <c r="K162" s="2" t="s">
        <v>21</v>
      </c>
      <c r="L162" s="2" t="s">
        <v>27</v>
      </c>
      <c r="M162" s="14">
        <v>45052</v>
      </c>
      <c r="N162" s="12">
        <v>179.97</v>
      </c>
    </row>
    <row r="163" spans="1:14" ht="24.9" customHeight="1" thickBot="1">
      <c r="A163" s="3" t="s">
        <v>306</v>
      </c>
      <c r="B163" s="14">
        <v>45635</v>
      </c>
      <c r="C163" s="2" t="s">
        <v>141</v>
      </c>
      <c r="D163" s="2" t="s">
        <v>142</v>
      </c>
      <c r="E163" s="2" t="s">
        <v>114</v>
      </c>
      <c r="F163" s="2" t="s">
        <v>115</v>
      </c>
      <c r="G163" s="2" t="s">
        <v>33</v>
      </c>
      <c r="H163" s="18">
        <v>4</v>
      </c>
      <c r="I163" s="10">
        <v>79.989999999999995</v>
      </c>
      <c r="J163" s="2" t="s">
        <v>57</v>
      </c>
      <c r="K163" s="2" t="s">
        <v>63</v>
      </c>
      <c r="L163" s="2" t="s">
        <v>36</v>
      </c>
      <c r="M163" s="14">
        <v>44921</v>
      </c>
      <c r="N163" s="12">
        <v>319.95999999999998</v>
      </c>
    </row>
    <row r="164" spans="1:14" ht="24.9" customHeight="1" thickBot="1">
      <c r="A164" s="3" t="s">
        <v>307</v>
      </c>
      <c r="B164" s="14">
        <v>45636</v>
      </c>
      <c r="C164" s="2" t="s">
        <v>120</v>
      </c>
      <c r="D164" s="2" t="s">
        <v>121</v>
      </c>
      <c r="E164" s="2" t="s">
        <v>114</v>
      </c>
      <c r="F164" s="2" t="s">
        <v>115</v>
      </c>
      <c r="G164" s="2" t="s">
        <v>33</v>
      </c>
      <c r="H164" s="18">
        <v>3</v>
      </c>
      <c r="I164" s="10">
        <v>79.989999999999995</v>
      </c>
      <c r="J164" s="2" t="s">
        <v>57</v>
      </c>
      <c r="K164" s="2" t="s">
        <v>63</v>
      </c>
      <c r="L164" s="2" t="s">
        <v>36</v>
      </c>
      <c r="M164" s="14">
        <v>44779</v>
      </c>
      <c r="N164" s="12">
        <v>239.97</v>
      </c>
    </row>
    <row r="165" spans="1:14" ht="24.9" customHeight="1" thickBot="1">
      <c r="A165" s="3" t="s">
        <v>308</v>
      </c>
      <c r="B165" s="14">
        <v>45638</v>
      </c>
      <c r="C165" s="2" t="s">
        <v>72</v>
      </c>
      <c r="D165" s="2" t="s">
        <v>73</v>
      </c>
      <c r="E165" s="2" t="s">
        <v>61</v>
      </c>
      <c r="F165" s="2" t="s">
        <v>62</v>
      </c>
      <c r="G165" s="2" t="s">
        <v>19</v>
      </c>
      <c r="H165" s="18">
        <v>2</v>
      </c>
      <c r="I165" s="10">
        <v>899.99</v>
      </c>
      <c r="J165" s="2" t="s">
        <v>20</v>
      </c>
      <c r="K165" s="2" t="s">
        <v>40</v>
      </c>
      <c r="L165" s="2" t="s">
        <v>22</v>
      </c>
      <c r="M165" s="14">
        <v>44406</v>
      </c>
      <c r="N165" s="12">
        <v>1799.98</v>
      </c>
    </row>
    <row r="166" spans="1:14" ht="24.9" customHeight="1" thickBot="1">
      <c r="A166" s="3" t="s">
        <v>309</v>
      </c>
      <c r="B166" s="14">
        <v>45641</v>
      </c>
      <c r="C166" s="2" t="s">
        <v>182</v>
      </c>
      <c r="D166" s="2" t="s">
        <v>183</v>
      </c>
      <c r="E166" s="2" t="s">
        <v>44</v>
      </c>
      <c r="F166" s="2" t="s">
        <v>45</v>
      </c>
      <c r="G166" s="2" t="s">
        <v>46</v>
      </c>
      <c r="H166" s="18">
        <v>1</v>
      </c>
      <c r="I166" s="10">
        <v>149.99</v>
      </c>
      <c r="J166" s="2" t="s">
        <v>57</v>
      </c>
      <c r="K166" s="2" t="s">
        <v>63</v>
      </c>
      <c r="L166" s="2" t="s">
        <v>36</v>
      </c>
      <c r="M166" s="14">
        <v>45200</v>
      </c>
      <c r="N166" s="12">
        <v>149.99</v>
      </c>
    </row>
    <row r="167" spans="1:14" ht="24.9" customHeight="1" thickBot="1">
      <c r="A167" s="3" t="s">
        <v>310</v>
      </c>
      <c r="B167" s="14">
        <v>45641</v>
      </c>
      <c r="C167" s="2" t="s">
        <v>138</v>
      </c>
      <c r="D167" s="2" t="s">
        <v>139</v>
      </c>
      <c r="E167" s="2" t="s">
        <v>105</v>
      </c>
      <c r="F167" s="2" t="s">
        <v>106</v>
      </c>
      <c r="G167" s="2" t="s">
        <v>46</v>
      </c>
      <c r="H167" s="18">
        <v>2</v>
      </c>
      <c r="I167" s="10">
        <v>299.99</v>
      </c>
      <c r="J167" s="2" t="s">
        <v>20</v>
      </c>
      <c r="K167" s="2" t="s">
        <v>63</v>
      </c>
      <c r="L167" s="2" t="s">
        <v>27</v>
      </c>
      <c r="M167" s="14">
        <v>44724</v>
      </c>
      <c r="N167" s="12">
        <v>599.98</v>
      </c>
    </row>
    <row r="168" spans="1:14" ht="24.9" customHeight="1" thickBot="1">
      <c r="A168" s="3" t="s">
        <v>311</v>
      </c>
      <c r="B168" s="14">
        <v>45644</v>
      </c>
      <c r="C168" s="2" t="s">
        <v>132</v>
      </c>
      <c r="D168" s="2" t="s">
        <v>133</v>
      </c>
      <c r="E168" s="2" t="s">
        <v>31</v>
      </c>
      <c r="F168" s="2" t="s">
        <v>32</v>
      </c>
      <c r="G168" s="2" t="s">
        <v>33</v>
      </c>
      <c r="H168" s="18">
        <v>2</v>
      </c>
      <c r="I168" s="10">
        <v>59.99</v>
      </c>
      <c r="J168" s="2" t="s">
        <v>20</v>
      </c>
      <c r="K168" s="2" t="s">
        <v>50</v>
      </c>
      <c r="L168" s="2" t="s">
        <v>22</v>
      </c>
      <c r="M168" s="14">
        <v>45191</v>
      </c>
      <c r="N168" s="12">
        <v>119.98</v>
      </c>
    </row>
    <row r="169" spans="1:14" ht="24.9" customHeight="1" thickBot="1">
      <c r="A169" s="3" t="s">
        <v>312</v>
      </c>
      <c r="B169" s="14">
        <v>45645</v>
      </c>
      <c r="C169" s="2" t="s">
        <v>182</v>
      </c>
      <c r="D169" s="2" t="s">
        <v>183</v>
      </c>
      <c r="E169" s="2" t="s">
        <v>117</v>
      </c>
      <c r="F169" s="2" t="s">
        <v>118</v>
      </c>
      <c r="G169" s="2" t="s">
        <v>19</v>
      </c>
      <c r="H169" s="18">
        <v>1</v>
      </c>
      <c r="I169" s="10">
        <v>89.99</v>
      </c>
      <c r="J169" s="2" t="s">
        <v>57</v>
      </c>
      <c r="K169" s="2" t="s">
        <v>21</v>
      </c>
      <c r="L169" s="2" t="s">
        <v>36</v>
      </c>
      <c r="M169" s="14">
        <v>44760</v>
      </c>
      <c r="N169" s="12">
        <v>89.99</v>
      </c>
    </row>
    <row r="170" spans="1:14" ht="24.9" customHeight="1" thickBot="1">
      <c r="A170" s="3" t="s">
        <v>313</v>
      </c>
      <c r="B170" s="14">
        <v>45645</v>
      </c>
      <c r="C170" s="2" t="s">
        <v>147</v>
      </c>
      <c r="D170" s="2" t="s">
        <v>148</v>
      </c>
      <c r="E170" s="2" t="s">
        <v>61</v>
      </c>
      <c r="F170" s="2" t="s">
        <v>62</v>
      </c>
      <c r="G170" s="2" t="s">
        <v>19</v>
      </c>
      <c r="H170" s="18">
        <v>5</v>
      </c>
      <c r="I170" s="10">
        <v>899.99</v>
      </c>
      <c r="J170" s="2" t="s">
        <v>57</v>
      </c>
      <c r="K170" s="2" t="s">
        <v>63</v>
      </c>
      <c r="L170" s="2" t="s">
        <v>36</v>
      </c>
      <c r="M170" s="14">
        <v>44625</v>
      </c>
      <c r="N170" s="12">
        <v>4499.95</v>
      </c>
    </row>
    <row r="171" spans="1:14" ht="24.9" customHeight="1" thickBot="1">
      <c r="A171" s="3" t="s">
        <v>314</v>
      </c>
      <c r="B171" s="14">
        <v>45646</v>
      </c>
      <c r="C171" s="2" t="s">
        <v>42</v>
      </c>
      <c r="D171" s="2" t="s">
        <v>43</v>
      </c>
      <c r="E171" s="2" t="s">
        <v>44</v>
      </c>
      <c r="F171" s="2" t="s">
        <v>45</v>
      </c>
      <c r="G171" s="2" t="s">
        <v>46</v>
      </c>
      <c r="H171" s="18">
        <v>2</v>
      </c>
      <c r="I171" s="10">
        <v>149.99</v>
      </c>
      <c r="J171" s="2" t="s">
        <v>20</v>
      </c>
      <c r="K171" s="2" t="s">
        <v>35</v>
      </c>
      <c r="L171" s="2" t="s">
        <v>22</v>
      </c>
      <c r="M171" s="14">
        <v>45239</v>
      </c>
      <c r="N171" s="12">
        <v>299.98</v>
      </c>
    </row>
    <row r="172" spans="1:14" ht="24.9" customHeight="1" thickBot="1">
      <c r="A172" s="3" t="s">
        <v>315</v>
      </c>
      <c r="B172" s="14">
        <v>45648</v>
      </c>
      <c r="C172" s="2" t="s">
        <v>112</v>
      </c>
      <c r="D172" s="2" t="s">
        <v>113</v>
      </c>
      <c r="E172" s="2" t="s">
        <v>52</v>
      </c>
      <c r="F172" s="2" t="s">
        <v>53</v>
      </c>
      <c r="G172" s="2" t="s">
        <v>19</v>
      </c>
      <c r="H172" s="18">
        <v>2</v>
      </c>
      <c r="I172" s="10">
        <v>149.99</v>
      </c>
      <c r="J172" s="2" t="s">
        <v>57</v>
      </c>
      <c r="K172" s="2" t="s">
        <v>50</v>
      </c>
      <c r="L172" s="2" t="s">
        <v>27</v>
      </c>
      <c r="M172" s="14">
        <v>45280</v>
      </c>
      <c r="N172" s="12">
        <v>299.98</v>
      </c>
    </row>
    <row r="173" spans="1:14" ht="24.9" customHeight="1" thickBot="1">
      <c r="A173" s="3" t="s">
        <v>316</v>
      </c>
      <c r="B173" s="14">
        <v>45648</v>
      </c>
      <c r="C173" s="2" t="s">
        <v>182</v>
      </c>
      <c r="D173" s="2" t="s">
        <v>183</v>
      </c>
      <c r="E173" s="2" t="s">
        <v>44</v>
      </c>
      <c r="F173" s="2" t="s">
        <v>45</v>
      </c>
      <c r="G173" s="2" t="s">
        <v>46</v>
      </c>
      <c r="H173" s="18">
        <v>3</v>
      </c>
      <c r="I173" s="10">
        <v>149.99</v>
      </c>
      <c r="J173" s="2" t="s">
        <v>57</v>
      </c>
      <c r="K173" s="2" t="s">
        <v>40</v>
      </c>
      <c r="L173" s="2" t="s">
        <v>36</v>
      </c>
      <c r="M173" s="14">
        <v>44522</v>
      </c>
      <c r="N173" s="12">
        <v>449.97</v>
      </c>
    </row>
    <row r="174" spans="1:14" ht="24.9" customHeight="1" thickBot="1">
      <c r="A174" s="3" t="s">
        <v>317</v>
      </c>
      <c r="B174" s="14">
        <v>45649</v>
      </c>
      <c r="C174" s="2" t="s">
        <v>29</v>
      </c>
      <c r="D174" s="2" t="s">
        <v>30</v>
      </c>
      <c r="E174" s="2" t="s">
        <v>105</v>
      </c>
      <c r="F174" s="2" t="s">
        <v>106</v>
      </c>
      <c r="G174" s="2" t="s">
        <v>46</v>
      </c>
      <c r="H174" s="18">
        <v>2</v>
      </c>
      <c r="I174" s="10">
        <v>299.99</v>
      </c>
      <c r="J174" s="2" t="s">
        <v>34</v>
      </c>
      <c r="K174" s="2" t="s">
        <v>35</v>
      </c>
      <c r="L174" s="2" t="s">
        <v>22</v>
      </c>
      <c r="M174" s="14">
        <v>44721</v>
      </c>
      <c r="N174" s="12">
        <v>599.98</v>
      </c>
    </row>
    <row r="175" spans="1:14" ht="24.9" customHeight="1" thickBot="1">
      <c r="A175" s="3" t="s">
        <v>318</v>
      </c>
      <c r="B175" s="14">
        <v>45654</v>
      </c>
      <c r="C175" s="2" t="s">
        <v>42</v>
      </c>
      <c r="D175" s="2" t="s">
        <v>43</v>
      </c>
      <c r="E175" s="2" t="s">
        <v>105</v>
      </c>
      <c r="F175" s="2" t="s">
        <v>106</v>
      </c>
      <c r="G175" s="2" t="s">
        <v>46</v>
      </c>
      <c r="H175" s="18">
        <v>2</v>
      </c>
      <c r="I175" s="10">
        <v>299.99</v>
      </c>
      <c r="J175" s="2" t="s">
        <v>20</v>
      </c>
      <c r="K175" s="2" t="s">
        <v>50</v>
      </c>
      <c r="L175" s="2" t="s">
        <v>22</v>
      </c>
      <c r="M175" s="14">
        <v>44771</v>
      </c>
      <c r="N175" s="12">
        <v>599.98</v>
      </c>
    </row>
    <row r="176" spans="1:14" ht="24.9" customHeight="1" thickBot="1">
      <c r="A176" s="3" t="s">
        <v>319</v>
      </c>
      <c r="B176" s="14">
        <v>45654</v>
      </c>
      <c r="C176" s="2" t="s">
        <v>120</v>
      </c>
      <c r="D176" s="2" t="s">
        <v>121</v>
      </c>
      <c r="E176" s="2" t="s">
        <v>126</v>
      </c>
      <c r="F176" s="2" t="s">
        <v>127</v>
      </c>
      <c r="G176" s="2" t="s">
        <v>46</v>
      </c>
      <c r="H176" s="18">
        <v>4</v>
      </c>
      <c r="I176" s="10">
        <v>199.99</v>
      </c>
      <c r="J176" s="2" t="s">
        <v>26</v>
      </c>
      <c r="K176" s="2" t="s">
        <v>21</v>
      </c>
      <c r="L176" s="2" t="s">
        <v>22</v>
      </c>
      <c r="M176" s="14">
        <v>44523</v>
      </c>
      <c r="N176" s="12">
        <v>799.96</v>
      </c>
    </row>
    <row r="177" spans="1:14" ht="24.9" customHeight="1" thickBot="1">
      <c r="A177" s="3" t="s">
        <v>320</v>
      </c>
      <c r="B177" s="14">
        <v>45655</v>
      </c>
      <c r="C177" s="2" t="s">
        <v>59</v>
      </c>
      <c r="D177" s="2" t="s">
        <v>60</v>
      </c>
      <c r="E177" s="2" t="s">
        <v>117</v>
      </c>
      <c r="F177" s="2" t="s">
        <v>118</v>
      </c>
      <c r="G177" s="2" t="s">
        <v>19</v>
      </c>
      <c r="H177" s="18">
        <v>1</v>
      </c>
      <c r="I177" s="10">
        <v>89.99</v>
      </c>
      <c r="J177" s="2" t="s">
        <v>26</v>
      </c>
      <c r="K177" s="2" t="s">
        <v>35</v>
      </c>
      <c r="L177" s="2" t="s">
        <v>27</v>
      </c>
      <c r="M177" s="14">
        <v>44591</v>
      </c>
      <c r="N177" s="12">
        <v>89.99</v>
      </c>
    </row>
    <row r="178" spans="1:14" ht="24.9" customHeight="1" thickBot="1">
      <c r="A178" s="3" t="s">
        <v>321</v>
      </c>
      <c r="B178" s="14">
        <v>45655</v>
      </c>
      <c r="C178" s="2" t="s">
        <v>108</v>
      </c>
      <c r="D178" s="2" t="s">
        <v>109</v>
      </c>
      <c r="E178" s="2" t="s">
        <v>44</v>
      </c>
      <c r="F178" s="2" t="s">
        <v>45</v>
      </c>
      <c r="G178" s="2" t="s">
        <v>46</v>
      </c>
      <c r="H178" s="18">
        <v>5</v>
      </c>
      <c r="I178" s="10">
        <v>149.99</v>
      </c>
      <c r="J178" s="2" t="s">
        <v>20</v>
      </c>
      <c r="K178" s="2" t="s">
        <v>21</v>
      </c>
      <c r="L178" s="2" t="s">
        <v>27</v>
      </c>
      <c r="M178" s="14">
        <v>45347</v>
      </c>
      <c r="N178" s="12">
        <v>749.95</v>
      </c>
    </row>
    <row r="179" spans="1:14" ht="24.9" customHeight="1" thickBot="1">
      <c r="A179" s="3" t="s">
        <v>322</v>
      </c>
      <c r="B179" s="14">
        <v>45657</v>
      </c>
      <c r="C179" s="2" t="s">
        <v>86</v>
      </c>
      <c r="D179" s="2" t="s">
        <v>87</v>
      </c>
      <c r="E179" s="2" t="s">
        <v>61</v>
      </c>
      <c r="F179" s="2" t="s">
        <v>62</v>
      </c>
      <c r="G179" s="2" t="s">
        <v>19</v>
      </c>
      <c r="H179" s="18">
        <v>1</v>
      </c>
      <c r="I179" s="10">
        <v>899.99</v>
      </c>
      <c r="J179" s="2" t="s">
        <v>34</v>
      </c>
      <c r="K179" s="2" t="s">
        <v>40</v>
      </c>
      <c r="L179" s="2" t="s">
        <v>27</v>
      </c>
      <c r="M179" s="14">
        <v>45050</v>
      </c>
      <c r="N179" s="12">
        <v>899.99</v>
      </c>
    </row>
    <row r="180" spans="1:14" ht="24.9" customHeight="1" thickBot="1">
      <c r="A180" s="3" t="s">
        <v>323</v>
      </c>
      <c r="B180" s="14">
        <v>45660</v>
      </c>
      <c r="C180" s="2" t="s">
        <v>147</v>
      </c>
      <c r="D180" s="2" t="s">
        <v>148</v>
      </c>
      <c r="E180" s="2" t="s">
        <v>117</v>
      </c>
      <c r="F180" s="2" t="s">
        <v>118</v>
      </c>
      <c r="G180" s="2" t="s">
        <v>19</v>
      </c>
      <c r="H180" s="18">
        <v>2</v>
      </c>
      <c r="I180" s="10">
        <v>89.99</v>
      </c>
      <c r="J180" s="2" t="s">
        <v>26</v>
      </c>
      <c r="K180" s="2" t="s">
        <v>35</v>
      </c>
      <c r="L180" s="2" t="s">
        <v>27</v>
      </c>
      <c r="M180" s="14">
        <v>44564</v>
      </c>
      <c r="N180" s="12">
        <v>179.98</v>
      </c>
    </row>
    <row r="181" spans="1:14" ht="24.9" customHeight="1" thickBot="1">
      <c r="A181" s="3" t="s">
        <v>324</v>
      </c>
      <c r="B181" s="14">
        <v>45661</v>
      </c>
      <c r="C181" s="2" t="s">
        <v>325</v>
      </c>
      <c r="D181" s="2" t="s">
        <v>326</v>
      </c>
      <c r="E181" s="2" t="s">
        <v>61</v>
      </c>
      <c r="F181" s="2" t="s">
        <v>62</v>
      </c>
      <c r="G181" s="2" t="s">
        <v>19</v>
      </c>
      <c r="H181" s="18">
        <v>1</v>
      </c>
      <c r="I181" s="10">
        <v>899.99</v>
      </c>
      <c r="J181" s="2" t="s">
        <v>34</v>
      </c>
      <c r="K181" s="2" t="s">
        <v>40</v>
      </c>
      <c r="L181" s="2" t="s">
        <v>36</v>
      </c>
      <c r="M181" s="14">
        <v>44752</v>
      </c>
      <c r="N181" s="12">
        <v>899.99</v>
      </c>
    </row>
    <row r="182" spans="1:14" ht="24.9" customHeight="1" thickBot="1">
      <c r="A182" s="3" t="s">
        <v>327</v>
      </c>
      <c r="B182" s="14">
        <v>45663</v>
      </c>
      <c r="C182" s="2" t="s">
        <v>129</v>
      </c>
      <c r="D182" s="2" t="s">
        <v>130</v>
      </c>
      <c r="E182" s="2" t="s">
        <v>52</v>
      </c>
      <c r="F182" s="2" t="s">
        <v>53</v>
      </c>
      <c r="G182" s="2" t="s">
        <v>19</v>
      </c>
      <c r="H182" s="18">
        <v>5</v>
      </c>
      <c r="I182" s="10">
        <v>149.99</v>
      </c>
      <c r="J182" s="2" t="s">
        <v>34</v>
      </c>
      <c r="K182" s="2" t="s">
        <v>63</v>
      </c>
      <c r="L182" s="2" t="s">
        <v>27</v>
      </c>
      <c r="M182" s="14">
        <v>44824</v>
      </c>
      <c r="N182" s="12">
        <v>749.95</v>
      </c>
    </row>
    <row r="183" spans="1:14" ht="24.9" customHeight="1" thickBot="1">
      <c r="A183" s="3" t="s">
        <v>328</v>
      </c>
      <c r="B183" s="14">
        <v>45663</v>
      </c>
      <c r="C183" s="2" t="s">
        <v>42</v>
      </c>
      <c r="D183" s="2" t="s">
        <v>43</v>
      </c>
      <c r="E183" s="2" t="s">
        <v>105</v>
      </c>
      <c r="F183" s="2" t="s">
        <v>106</v>
      </c>
      <c r="G183" s="2" t="s">
        <v>46</v>
      </c>
      <c r="H183" s="18">
        <v>3</v>
      </c>
      <c r="I183" s="10">
        <v>299.99</v>
      </c>
      <c r="J183" s="2" t="s">
        <v>20</v>
      </c>
      <c r="K183" s="2" t="s">
        <v>35</v>
      </c>
      <c r="L183" s="2" t="s">
        <v>36</v>
      </c>
      <c r="M183" s="14">
        <v>44422</v>
      </c>
      <c r="N183" s="12">
        <v>899.97</v>
      </c>
    </row>
    <row r="184" spans="1:14" ht="24.9" customHeight="1" thickBot="1">
      <c r="A184" s="3" t="s">
        <v>329</v>
      </c>
      <c r="B184" s="14">
        <v>45666</v>
      </c>
      <c r="C184" s="2" t="s">
        <v>65</v>
      </c>
      <c r="D184" s="2" t="s">
        <v>66</v>
      </c>
      <c r="E184" s="2" t="s">
        <v>80</v>
      </c>
      <c r="F184" s="2" t="s">
        <v>81</v>
      </c>
      <c r="G184" s="2" t="s">
        <v>19</v>
      </c>
      <c r="H184" s="18">
        <v>3</v>
      </c>
      <c r="I184" s="10">
        <v>699.99</v>
      </c>
      <c r="J184" s="2" t="s">
        <v>26</v>
      </c>
      <c r="K184" s="2" t="s">
        <v>21</v>
      </c>
      <c r="L184" s="2" t="s">
        <v>27</v>
      </c>
      <c r="M184" s="14">
        <v>45105</v>
      </c>
      <c r="N184" s="12">
        <v>2099.9699999999998</v>
      </c>
    </row>
    <row r="185" spans="1:14" ht="24.9" customHeight="1" thickBot="1">
      <c r="A185" s="3" t="s">
        <v>330</v>
      </c>
      <c r="B185" s="14">
        <v>45667</v>
      </c>
      <c r="C185" s="2" t="s">
        <v>108</v>
      </c>
      <c r="D185" s="2" t="s">
        <v>109</v>
      </c>
      <c r="E185" s="2" t="s">
        <v>126</v>
      </c>
      <c r="F185" s="2" t="s">
        <v>127</v>
      </c>
      <c r="G185" s="2" t="s">
        <v>46</v>
      </c>
      <c r="H185" s="18">
        <v>5</v>
      </c>
      <c r="I185" s="10">
        <v>199.99</v>
      </c>
      <c r="J185" s="2" t="s">
        <v>34</v>
      </c>
      <c r="K185" s="2" t="s">
        <v>21</v>
      </c>
      <c r="L185" s="2" t="s">
        <v>36</v>
      </c>
      <c r="M185" s="14">
        <v>44633</v>
      </c>
      <c r="N185" s="12">
        <v>999.95</v>
      </c>
    </row>
    <row r="186" spans="1:14" ht="24.9" customHeight="1" thickBot="1">
      <c r="A186" s="3" t="s">
        <v>331</v>
      </c>
      <c r="B186" s="14">
        <v>45667</v>
      </c>
      <c r="C186" s="2" t="s">
        <v>93</v>
      </c>
      <c r="D186" s="2" t="s">
        <v>94</v>
      </c>
      <c r="E186" s="2" t="s">
        <v>17</v>
      </c>
      <c r="F186" s="2" t="s">
        <v>18</v>
      </c>
      <c r="G186" s="2" t="s">
        <v>19</v>
      </c>
      <c r="H186" s="18">
        <v>5</v>
      </c>
      <c r="I186" s="10">
        <v>249.99</v>
      </c>
      <c r="J186" s="2" t="s">
        <v>26</v>
      </c>
      <c r="K186" s="2" t="s">
        <v>35</v>
      </c>
      <c r="L186" s="2" t="s">
        <v>22</v>
      </c>
      <c r="M186" s="14">
        <v>45330</v>
      </c>
      <c r="N186" s="12">
        <v>1249.95</v>
      </c>
    </row>
    <row r="187" spans="1:14" ht="24.9" customHeight="1" thickBot="1">
      <c r="A187" s="3" t="s">
        <v>332</v>
      </c>
      <c r="B187" s="14">
        <v>45668</v>
      </c>
      <c r="C187" s="2" t="s">
        <v>138</v>
      </c>
      <c r="D187" s="2" t="s">
        <v>139</v>
      </c>
      <c r="E187" s="2" t="s">
        <v>52</v>
      </c>
      <c r="F187" s="2" t="s">
        <v>53</v>
      </c>
      <c r="G187" s="2" t="s">
        <v>19</v>
      </c>
      <c r="H187" s="18">
        <v>4</v>
      </c>
      <c r="I187" s="10">
        <v>149.99</v>
      </c>
      <c r="J187" s="2" t="s">
        <v>57</v>
      </c>
      <c r="K187" s="2" t="s">
        <v>63</v>
      </c>
      <c r="L187" s="2" t="s">
        <v>36</v>
      </c>
      <c r="M187" s="14">
        <v>44536</v>
      </c>
      <c r="N187" s="12">
        <v>599.96</v>
      </c>
    </row>
    <row r="188" spans="1:14" ht="24.9" customHeight="1" thickBot="1">
      <c r="A188" s="3" t="s">
        <v>333</v>
      </c>
      <c r="B188" s="14">
        <v>45668</v>
      </c>
      <c r="C188" s="2" t="s">
        <v>78</v>
      </c>
      <c r="D188" s="2" t="s">
        <v>79</v>
      </c>
      <c r="E188" s="2" t="s">
        <v>80</v>
      </c>
      <c r="F188" s="2" t="s">
        <v>81</v>
      </c>
      <c r="G188" s="2" t="s">
        <v>19</v>
      </c>
      <c r="H188" s="18">
        <v>3</v>
      </c>
      <c r="I188" s="10">
        <v>699.99</v>
      </c>
      <c r="J188" s="2" t="s">
        <v>20</v>
      </c>
      <c r="K188" s="2" t="s">
        <v>40</v>
      </c>
      <c r="L188" s="2" t="s">
        <v>27</v>
      </c>
      <c r="M188" s="14">
        <v>44602</v>
      </c>
      <c r="N188" s="12">
        <v>2099.9699999999998</v>
      </c>
    </row>
    <row r="189" spans="1:14" ht="24.9" customHeight="1" thickBot="1">
      <c r="A189" s="3" t="s">
        <v>334</v>
      </c>
      <c r="B189" s="14">
        <v>45670</v>
      </c>
      <c r="C189" s="2" t="s">
        <v>293</v>
      </c>
      <c r="D189" s="2" t="s">
        <v>294</v>
      </c>
      <c r="E189" s="2" t="s">
        <v>114</v>
      </c>
      <c r="F189" s="2" t="s">
        <v>115</v>
      </c>
      <c r="G189" s="2" t="s">
        <v>33</v>
      </c>
      <c r="H189" s="18">
        <v>1</v>
      </c>
      <c r="I189" s="10">
        <v>79.989999999999995</v>
      </c>
      <c r="J189" s="2" t="s">
        <v>26</v>
      </c>
      <c r="K189" s="2" t="s">
        <v>35</v>
      </c>
      <c r="L189" s="2" t="s">
        <v>22</v>
      </c>
      <c r="M189" s="14">
        <v>45322</v>
      </c>
      <c r="N189" s="12">
        <v>79.989999999999995</v>
      </c>
    </row>
    <row r="190" spans="1:14" ht="24.9" customHeight="1" thickBot="1">
      <c r="A190" s="3" t="s">
        <v>335</v>
      </c>
      <c r="B190" s="14">
        <v>45670</v>
      </c>
      <c r="C190" s="2" t="s">
        <v>86</v>
      </c>
      <c r="D190" s="2" t="s">
        <v>87</v>
      </c>
      <c r="E190" s="2" t="s">
        <v>105</v>
      </c>
      <c r="F190" s="2" t="s">
        <v>106</v>
      </c>
      <c r="G190" s="2" t="s">
        <v>46</v>
      </c>
      <c r="H190" s="18">
        <v>1</v>
      </c>
      <c r="I190" s="10">
        <v>299.99</v>
      </c>
      <c r="J190" s="2" t="s">
        <v>26</v>
      </c>
      <c r="K190" s="2" t="s">
        <v>40</v>
      </c>
      <c r="L190" s="2" t="s">
        <v>22</v>
      </c>
      <c r="M190" s="14">
        <v>44436</v>
      </c>
      <c r="N190" s="12">
        <v>299.99</v>
      </c>
    </row>
    <row r="191" spans="1:14" ht="24.9" customHeight="1" thickBot="1">
      <c r="A191" s="3" t="s">
        <v>336</v>
      </c>
      <c r="B191" s="14">
        <v>45671</v>
      </c>
      <c r="C191" s="2" t="s">
        <v>158</v>
      </c>
      <c r="D191" s="2" t="s">
        <v>159</v>
      </c>
      <c r="E191" s="2" t="s">
        <v>17</v>
      </c>
      <c r="F191" s="2" t="s">
        <v>18</v>
      </c>
      <c r="G191" s="2" t="s">
        <v>19</v>
      </c>
      <c r="H191" s="18">
        <v>4</v>
      </c>
      <c r="I191" s="10">
        <v>249.99</v>
      </c>
      <c r="J191" s="2" t="s">
        <v>26</v>
      </c>
      <c r="K191" s="2" t="s">
        <v>40</v>
      </c>
      <c r="L191" s="2" t="s">
        <v>27</v>
      </c>
      <c r="M191" s="14">
        <v>44460</v>
      </c>
      <c r="N191" s="12">
        <v>999.96</v>
      </c>
    </row>
    <row r="192" spans="1:14" ht="24.9" customHeight="1" thickBot="1">
      <c r="A192" s="3" t="s">
        <v>337</v>
      </c>
      <c r="B192" s="14">
        <v>45671</v>
      </c>
      <c r="C192" s="2" t="s">
        <v>120</v>
      </c>
      <c r="D192" s="2" t="s">
        <v>121</v>
      </c>
      <c r="E192" s="2" t="s">
        <v>52</v>
      </c>
      <c r="F192" s="2" t="s">
        <v>53</v>
      </c>
      <c r="G192" s="2" t="s">
        <v>19</v>
      </c>
      <c r="H192" s="18">
        <v>2</v>
      </c>
      <c r="I192" s="10">
        <v>149.99</v>
      </c>
      <c r="J192" s="2" t="s">
        <v>20</v>
      </c>
      <c r="K192" s="2" t="s">
        <v>40</v>
      </c>
      <c r="L192" s="2" t="s">
        <v>36</v>
      </c>
      <c r="M192" s="14">
        <v>44913</v>
      </c>
      <c r="N192" s="12">
        <v>299.98</v>
      </c>
    </row>
    <row r="193" spans="1:14" ht="24.9" customHeight="1" thickBot="1">
      <c r="A193" s="3" t="s">
        <v>338</v>
      </c>
      <c r="B193" s="14">
        <v>45671</v>
      </c>
      <c r="C193" s="2" t="s">
        <v>234</v>
      </c>
      <c r="D193" s="2" t="s">
        <v>235</v>
      </c>
      <c r="E193" s="2" t="s">
        <v>105</v>
      </c>
      <c r="F193" s="2" t="s">
        <v>106</v>
      </c>
      <c r="G193" s="2" t="s">
        <v>46</v>
      </c>
      <c r="H193" s="18">
        <v>3</v>
      </c>
      <c r="I193" s="10">
        <v>299.99</v>
      </c>
      <c r="J193" s="2" t="s">
        <v>26</v>
      </c>
      <c r="K193" s="2" t="s">
        <v>35</v>
      </c>
      <c r="L193" s="2" t="s">
        <v>22</v>
      </c>
      <c r="M193" s="14">
        <v>45204</v>
      </c>
      <c r="N193" s="12">
        <v>899.97</v>
      </c>
    </row>
    <row r="194" spans="1:14" ht="24.9" customHeight="1" thickBot="1">
      <c r="A194" s="3" t="s">
        <v>339</v>
      </c>
      <c r="B194" s="14">
        <v>45673</v>
      </c>
      <c r="C194" s="2" t="s">
        <v>226</v>
      </c>
      <c r="D194" s="2" t="s">
        <v>227</v>
      </c>
      <c r="E194" s="2" t="s">
        <v>126</v>
      </c>
      <c r="F194" s="2" t="s">
        <v>127</v>
      </c>
      <c r="G194" s="2" t="s">
        <v>46</v>
      </c>
      <c r="H194" s="18">
        <v>4</v>
      </c>
      <c r="I194" s="10">
        <v>199.99</v>
      </c>
      <c r="J194" s="2" t="s">
        <v>57</v>
      </c>
      <c r="K194" s="2" t="s">
        <v>35</v>
      </c>
      <c r="L194" s="2" t="s">
        <v>36</v>
      </c>
      <c r="M194" s="14">
        <v>44544</v>
      </c>
      <c r="N194" s="12">
        <v>799.96</v>
      </c>
    </row>
    <row r="195" spans="1:14" ht="24.9" customHeight="1" thickBot="1">
      <c r="A195" s="3" t="s">
        <v>340</v>
      </c>
      <c r="B195" s="14">
        <v>45673</v>
      </c>
      <c r="C195" s="2" t="s">
        <v>211</v>
      </c>
      <c r="D195" s="2" t="s">
        <v>212</v>
      </c>
      <c r="E195" s="2" t="s">
        <v>105</v>
      </c>
      <c r="F195" s="2" t="s">
        <v>106</v>
      </c>
      <c r="G195" s="2" t="s">
        <v>46</v>
      </c>
      <c r="H195" s="18">
        <v>5</v>
      </c>
      <c r="I195" s="10">
        <v>299.99</v>
      </c>
      <c r="J195" s="2" t="s">
        <v>57</v>
      </c>
      <c r="K195" s="2" t="s">
        <v>21</v>
      </c>
      <c r="L195" s="2" t="s">
        <v>22</v>
      </c>
      <c r="M195" s="14">
        <v>44431</v>
      </c>
      <c r="N195" s="12">
        <v>1499.95</v>
      </c>
    </row>
    <row r="196" spans="1:14" ht="24.9" customHeight="1" thickBot="1">
      <c r="A196" s="3" t="s">
        <v>341</v>
      </c>
      <c r="B196" s="14">
        <v>45673</v>
      </c>
      <c r="C196" s="2" t="s">
        <v>59</v>
      </c>
      <c r="D196" s="2" t="s">
        <v>60</v>
      </c>
      <c r="E196" s="2" t="s">
        <v>44</v>
      </c>
      <c r="F196" s="2" t="s">
        <v>45</v>
      </c>
      <c r="G196" s="2" t="s">
        <v>46</v>
      </c>
      <c r="H196" s="18">
        <v>3</v>
      </c>
      <c r="I196" s="10">
        <v>149.99</v>
      </c>
      <c r="J196" s="2" t="s">
        <v>26</v>
      </c>
      <c r="K196" s="2" t="s">
        <v>63</v>
      </c>
      <c r="L196" s="2" t="s">
        <v>36</v>
      </c>
      <c r="M196" s="14">
        <v>44395</v>
      </c>
      <c r="N196" s="12">
        <v>449.97</v>
      </c>
    </row>
    <row r="197" spans="1:14" ht="24.9" customHeight="1" thickBot="1">
      <c r="A197" s="3" t="s">
        <v>342</v>
      </c>
      <c r="B197" s="14">
        <v>45676</v>
      </c>
      <c r="C197" s="2" t="s">
        <v>129</v>
      </c>
      <c r="D197" s="2" t="s">
        <v>130</v>
      </c>
      <c r="E197" s="2" t="s">
        <v>31</v>
      </c>
      <c r="F197" s="2" t="s">
        <v>32</v>
      </c>
      <c r="G197" s="2" t="s">
        <v>33</v>
      </c>
      <c r="H197" s="18">
        <v>5</v>
      </c>
      <c r="I197" s="10">
        <v>59.99</v>
      </c>
      <c r="J197" s="2" t="s">
        <v>57</v>
      </c>
      <c r="K197" s="2" t="s">
        <v>63</v>
      </c>
      <c r="L197" s="2" t="s">
        <v>22</v>
      </c>
      <c r="M197" s="14">
        <v>44642</v>
      </c>
      <c r="N197" s="12">
        <v>299.95</v>
      </c>
    </row>
    <row r="198" spans="1:14" ht="24.9" customHeight="1" thickBot="1">
      <c r="A198" s="3" t="s">
        <v>343</v>
      </c>
      <c r="B198" s="14">
        <v>45682</v>
      </c>
      <c r="C198" s="2" t="s">
        <v>68</v>
      </c>
      <c r="D198" s="2" t="s">
        <v>69</v>
      </c>
      <c r="E198" s="2" t="s">
        <v>31</v>
      </c>
      <c r="F198" s="2" t="s">
        <v>32</v>
      </c>
      <c r="G198" s="2" t="s">
        <v>33</v>
      </c>
      <c r="H198" s="18">
        <v>4</v>
      </c>
      <c r="I198" s="10">
        <v>59.99</v>
      </c>
      <c r="J198" s="2" t="s">
        <v>57</v>
      </c>
      <c r="K198" s="2" t="s">
        <v>63</v>
      </c>
      <c r="L198" s="2" t="s">
        <v>36</v>
      </c>
      <c r="M198" s="14">
        <v>44564</v>
      </c>
      <c r="N198" s="12">
        <v>239.96</v>
      </c>
    </row>
    <row r="199" spans="1:14" ht="24.9" customHeight="1" thickBot="1">
      <c r="A199" s="3" t="s">
        <v>344</v>
      </c>
      <c r="B199" s="14">
        <v>45683</v>
      </c>
      <c r="C199" s="2" t="s">
        <v>48</v>
      </c>
      <c r="D199" s="2" t="s">
        <v>49</v>
      </c>
      <c r="E199" s="2" t="s">
        <v>17</v>
      </c>
      <c r="F199" s="2" t="s">
        <v>18</v>
      </c>
      <c r="G199" s="2" t="s">
        <v>19</v>
      </c>
      <c r="H199" s="18">
        <v>4</v>
      </c>
      <c r="I199" s="10">
        <v>249.99</v>
      </c>
      <c r="J199" s="2" t="s">
        <v>57</v>
      </c>
      <c r="K199" s="2" t="s">
        <v>21</v>
      </c>
      <c r="L199" s="2" t="s">
        <v>27</v>
      </c>
      <c r="M199" s="14">
        <v>45217</v>
      </c>
      <c r="N199" s="12">
        <v>999.96</v>
      </c>
    </row>
    <row r="200" spans="1:14" ht="24.9" customHeight="1" thickBot="1">
      <c r="A200" s="3" t="s">
        <v>345</v>
      </c>
      <c r="B200" s="14">
        <v>45686</v>
      </c>
      <c r="C200" s="2" t="s">
        <v>252</v>
      </c>
      <c r="D200" s="2" t="s">
        <v>253</v>
      </c>
      <c r="E200" s="2" t="s">
        <v>61</v>
      </c>
      <c r="F200" s="2" t="s">
        <v>62</v>
      </c>
      <c r="G200" s="2" t="s">
        <v>19</v>
      </c>
      <c r="H200" s="18">
        <v>4</v>
      </c>
      <c r="I200" s="10">
        <v>899.99</v>
      </c>
      <c r="J200" s="2" t="s">
        <v>34</v>
      </c>
      <c r="K200" s="2" t="s">
        <v>21</v>
      </c>
      <c r="L200" s="2" t="s">
        <v>22</v>
      </c>
      <c r="M200" s="14">
        <v>44734</v>
      </c>
      <c r="N200" s="12">
        <v>3599.96</v>
      </c>
    </row>
    <row r="201" spans="1:14" ht="24.9" customHeight="1" thickBot="1">
      <c r="A201" s="3" t="s">
        <v>346</v>
      </c>
      <c r="B201" s="14">
        <v>45686</v>
      </c>
      <c r="C201" s="2" t="s">
        <v>86</v>
      </c>
      <c r="D201" s="2" t="s">
        <v>87</v>
      </c>
      <c r="E201" s="2" t="s">
        <v>105</v>
      </c>
      <c r="F201" s="2" t="s">
        <v>106</v>
      </c>
      <c r="G201" s="2" t="s">
        <v>46</v>
      </c>
      <c r="H201" s="18">
        <v>3</v>
      </c>
      <c r="I201" s="10">
        <v>299.99</v>
      </c>
      <c r="J201" s="2" t="s">
        <v>57</v>
      </c>
      <c r="K201" s="2" t="s">
        <v>50</v>
      </c>
      <c r="L201" s="2" t="s">
        <v>36</v>
      </c>
      <c r="M201" s="14">
        <v>44952</v>
      </c>
      <c r="N201" s="12">
        <v>899.97</v>
      </c>
    </row>
    <row r="202" spans="1:14" ht="24.9" customHeight="1" thickBot="1">
      <c r="A202" s="3" t="s">
        <v>347</v>
      </c>
      <c r="B202" s="14">
        <v>45686</v>
      </c>
      <c r="C202" s="2" t="s">
        <v>293</v>
      </c>
      <c r="D202" s="2" t="s">
        <v>294</v>
      </c>
      <c r="E202" s="2" t="s">
        <v>80</v>
      </c>
      <c r="F202" s="2" t="s">
        <v>81</v>
      </c>
      <c r="G202" s="2" t="s">
        <v>19</v>
      </c>
      <c r="H202" s="18">
        <v>2</v>
      </c>
      <c r="I202" s="10">
        <v>699.99</v>
      </c>
      <c r="J202" s="2" t="s">
        <v>57</v>
      </c>
      <c r="K202" s="2" t="s">
        <v>21</v>
      </c>
      <c r="L202" s="2" t="s">
        <v>27</v>
      </c>
      <c r="M202" s="14">
        <v>44681</v>
      </c>
      <c r="N202" s="12">
        <v>1399.98</v>
      </c>
    </row>
    <row r="203" spans="1:14" ht="24.9" customHeight="1" thickBot="1">
      <c r="A203" s="3" t="s">
        <v>348</v>
      </c>
      <c r="B203" s="14">
        <v>45688</v>
      </c>
      <c r="C203" s="2" t="s">
        <v>65</v>
      </c>
      <c r="D203" s="2" t="s">
        <v>66</v>
      </c>
      <c r="E203" s="2" t="s">
        <v>80</v>
      </c>
      <c r="F203" s="2" t="s">
        <v>81</v>
      </c>
      <c r="G203" s="2" t="s">
        <v>19</v>
      </c>
      <c r="H203" s="18">
        <v>4</v>
      </c>
      <c r="I203" s="10">
        <v>699.99</v>
      </c>
      <c r="J203" s="2" t="s">
        <v>57</v>
      </c>
      <c r="K203" s="2" t="s">
        <v>50</v>
      </c>
      <c r="L203" s="2" t="s">
        <v>27</v>
      </c>
      <c r="M203" s="14">
        <v>44692</v>
      </c>
      <c r="N203" s="12">
        <v>2799.96</v>
      </c>
    </row>
    <row r="204" spans="1:14" ht="24.9" customHeight="1" thickBot="1">
      <c r="A204" s="3" t="s">
        <v>349</v>
      </c>
      <c r="B204" s="14">
        <v>45688</v>
      </c>
      <c r="C204" s="2" t="s">
        <v>123</v>
      </c>
      <c r="D204" s="2" t="s">
        <v>124</v>
      </c>
      <c r="E204" s="2" t="s">
        <v>117</v>
      </c>
      <c r="F204" s="2" t="s">
        <v>118</v>
      </c>
      <c r="G204" s="2" t="s">
        <v>19</v>
      </c>
      <c r="H204" s="18">
        <v>2</v>
      </c>
      <c r="I204" s="10">
        <v>89.99</v>
      </c>
      <c r="J204" s="2" t="s">
        <v>57</v>
      </c>
      <c r="K204" s="2" t="s">
        <v>35</v>
      </c>
      <c r="L204" s="2" t="s">
        <v>22</v>
      </c>
      <c r="M204" s="14">
        <v>44777</v>
      </c>
      <c r="N204" s="12">
        <v>179.98</v>
      </c>
    </row>
    <row r="205" spans="1:14" ht="24.9" customHeight="1" thickBot="1">
      <c r="A205" s="3" t="s">
        <v>350</v>
      </c>
      <c r="B205" s="14">
        <v>45688</v>
      </c>
      <c r="C205" s="2" t="s">
        <v>42</v>
      </c>
      <c r="D205" s="2" t="s">
        <v>43</v>
      </c>
      <c r="E205" s="2" t="s">
        <v>117</v>
      </c>
      <c r="F205" s="2" t="s">
        <v>118</v>
      </c>
      <c r="G205" s="2" t="s">
        <v>19</v>
      </c>
      <c r="H205" s="18">
        <v>3</v>
      </c>
      <c r="I205" s="10">
        <v>89.99</v>
      </c>
      <c r="J205" s="2" t="s">
        <v>57</v>
      </c>
      <c r="K205" s="2" t="s">
        <v>35</v>
      </c>
      <c r="L205" s="2" t="s">
        <v>27</v>
      </c>
      <c r="M205" s="14">
        <v>45307</v>
      </c>
      <c r="N205" s="12">
        <v>269.97000000000003</v>
      </c>
    </row>
    <row r="206" spans="1:14" ht="24.9" customHeight="1" thickBot="1">
      <c r="A206" s="3" t="s">
        <v>351</v>
      </c>
      <c r="B206" s="14">
        <v>45692</v>
      </c>
      <c r="C206" s="2" t="s">
        <v>325</v>
      </c>
      <c r="D206" s="2" t="s">
        <v>326</v>
      </c>
      <c r="E206" s="2" t="s">
        <v>31</v>
      </c>
      <c r="F206" s="2" t="s">
        <v>32</v>
      </c>
      <c r="G206" s="2" t="s">
        <v>33</v>
      </c>
      <c r="H206" s="18">
        <v>1</v>
      </c>
      <c r="I206" s="10">
        <v>59.99</v>
      </c>
      <c r="J206" s="2" t="s">
        <v>57</v>
      </c>
      <c r="K206" s="2" t="s">
        <v>21</v>
      </c>
      <c r="L206" s="2" t="s">
        <v>36</v>
      </c>
      <c r="M206" s="14">
        <v>45045</v>
      </c>
      <c r="N206" s="12">
        <v>59.99</v>
      </c>
    </row>
    <row r="207" spans="1:14" ht="24.9" customHeight="1" thickBot="1">
      <c r="A207" s="3" t="s">
        <v>352</v>
      </c>
      <c r="B207" s="14">
        <v>45695</v>
      </c>
      <c r="C207" s="2" t="s">
        <v>246</v>
      </c>
      <c r="D207" s="2" t="s">
        <v>247</v>
      </c>
      <c r="E207" s="2" t="s">
        <v>44</v>
      </c>
      <c r="F207" s="2" t="s">
        <v>45</v>
      </c>
      <c r="G207" s="2" t="s">
        <v>46</v>
      </c>
      <c r="H207" s="18">
        <v>3</v>
      </c>
      <c r="I207" s="10">
        <v>149.99</v>
      </c>
      <c r="J207" s="2" t="s">
        <v>57</v>
      </c>
      <c r="K207" s="2" t="s">
        <v>40</v>
      </c>
      <c r="L207" s="2" t="s">
        <v>27</v>
      </c>
      <c r="M207" s="14">
        <v>44564</v>
      </c>
      <c r="N207" s="12">
        <v>449.97</v>
      </c>
    </row>
    <row r="208" spans="1:14" ht="24.9" customHeight="1" thickBot="1">
      <c r="A208" s="3" t="s">
        <v>353</v>
      </c>
      <c r="B208" s="14">
        <v>45695</v>
      </c>
      <c r="C208" s="2" t="s">
        <v>93</v>
      </c>
      <c r="D208" s="2" t="s">
        <v>94</v>
      </c>
      <c r="E208" s="2" t="s">
        <v>105</v>
      </c>
      <c r="F208" s="2" t="s">
        <v>106</v>
      </c>
      <c r="G208" s="2" t="s">
        <v>46</v>
      </c>
      <c r="H208" s="18">
        <v>5</v>
      </c>
      <c r="I208" s="10">
        <v>299.99</v>
      </c>
      <c r="J208" s="2" t="s">
        <v>26</v>
      </c>
      <c r="K208" s="2" t="s">
        <v>35</v>
      </c>
      <c r="L208" s="2" t="s">
        <v>22</v>
      </c>
      <c r="M208" s="14">
        <v>44959</v>
      </c>
      <c r="N208" s="12">
        <v>1499.95</v>
      </c>
    </row>
    <row r="209" spans="1:14" ht="24.9" customHeight="1" thickBot="1">
      <c r="A209" s="3" t="s">
        <v>354</v>
      </c>
      <c r="B209" s="14">
        <v>45696</v>
      </c>
      <c r="C209" s="2" t="s">
        <v>150</v>
      </c>
      <c r="D209" s="2" t="s">
        <v>151</v>
      </c>
      <c r="E209" s="2" t="s">
        <v>31</v>
      </c>
      <c r="F209" s="2" t="s">
        <v>32</v>
      </c>
      <c r="G209" s="2" t="s">
        <v>33</v>
      </c>
      <c r="H209" s="18">
        <v>5</v>
      </c>
      <c r="I209" s="10">
        <v>59.99</v>
      </c>
      <c r="J209" s="2" t="s">
        <v>57</v>
      </c>
      <c r="K209" s="2" t="s">
        <v>21</v>
      </c>
      <c r="L209" s="2" t="s">
        <v>36</v>
      </c>
      <c r="M209" s="14">
        <v>45177</v>
      </c>
      <c r="N209" s="12">
        <v>299.95</v>
      </c>
    </row>
    <row r="210" spans="1:14" ht="24.9" customHeight="1" thickBot="1">
      <c r="A210" s="3" t="s">
        <v>355</v>
      </c>
      <c r="B210" s="14">
        <v>45701</v>
      </c>
      <c r="C210" s="2" t="s">
        <v>108</v>
      </c>
      <c r="D210" s="2" t="s">
        <v>109</v>
      </c>
      <c r="E210" s="2" t="s">
        <v>114</v>
      </c>
      <c r="F210" s="2" t="s">
        <v>115</v>
      </c>
      <c r="G210" s="2" t="s">
        <v>33</v>
      </c>
      <c r="H210" s="18">
        <v>3</v>
      </c>
      <c r="I210" s="10">
        <v>79.989999999999995</v>
      </c>
      <c r="J210" s="2" t="s">
        <v>20</v>
      </c>
      <c r="K210" s="2" t="s">
        <v>63</v>
      </c>
      <c r="L210" s="2" t="s">
        <v>27</v>
      </c>
      <c r="M210" s="14">
        <v>44436</v>
      </c>
      <c r="N210" s="12">
        <v>239.97</v>
      </c>
    </row>
    <row r="211" spans="1:14" ht="24.9" customHeight="1" thickBot="1">
      <c r="A211" s="3" t="s">
        <v>356</v>
      </c>
      <c r="B211" s="14">
        <v>45704</v>
      </c>
      <c r="C211" s="2" t="s">
        <v>29</v>
      </c>
      <c r="D211" s="2" t="s">
        <v>30</v>
      </c>
      <c r="E211" s="2" t="s">
        <v>126</v>
      </c>
      <c r="F211" s="2" t="s">
        <v>127</v>
      </c>
      <c r="G211" s="2" t="s">
        <v>46</v>
      </c>
      <c r="H211" s="18">
        <v>3</v>
      </c>
      <c r="I211" s="10">
        <v>199.99</v>
      </c>
      <c r="J211" s="2" t="s">
        <v>20</v>
      </c>
      <c r="K211" s="2" t="s">
        <v>21</v>
      </c>
      <c r="L211" s="2" t="s">
        <v>22</v>
      </c>
      <c r="M211" s="14">
        <v>44735</v>
      </c>
      <c r="N211" s="12">
        <v>599.97</v>
      </c>
    </row>
    <row r="212" spans="1:14" ht="24.9" customHeight="1" thickBot="1">
      <c r="A212" s="3" t="s">
        <v>357</v>
      </c>
      <c r="B212" s="14">
        <v>45704</v>
      </c>
      <c r="C212" s="2" t="s">
        <v>15</v>
      </c>
      <c r="D212" s="2" t="s">
        <v>16</v>
      </c>
      <c r="E212" s="2" t="s">
        <v>117</v>
      </c>
      <c r="F212" s="2" t="s">
        <v>118</v>
      </c>
      <c r="G212" s="2" t="s">
        <v>19</v>
      </c>
      <c r="H212" s="18">
        <v>2</v>
      </c>
      <c r="I212" s="10">
        <v>89.99</v>
      </c>
      <c r="J212" s="2" t="s">
        <v>34</v>
      </c>
      <c r="K212" s="2" t="s">
        <v>21</v>
      </c>
      <c r="L212" s="2" t="s">
        <v>22</v>
      </c>
      <c r="M212" s="14">
        <v>45257</v>
      </c>
      <c r="N212" s="12">
        <v>179.98</v>
      </c>
    </row>
    <row r="213" spans="1:14" ht="24.9" customHeight="1" thickBot="1">
      <c r="A213" s="3" t="s">
        <v>358</v>
      </c>
      <c r="B213" s="14">
        <v>45705</v>
      </c>
      <c r="C213" s="2" t="s">
        <v>259</v>
      </c>
      <c r="D213" s="2" t="s">
        <v>260</v>
      </c>
      <c r="E213" s="2" t="s">
        <v>44</v>
      </c>
      <c r="F213" s="2" t="s">
        <v>45</v>
      </c>
      <c r="G213" s="2" t="s">
        <v>46</v>
      </c>
      <c r="H213" s="18">
        <v>2</v>
      </c>
      <c r="I213" s="10">
        <v>149.99</v>
      </c>
      <c r="J213" s="2" t="s">
        <v>20</v>
      </c>
      <c r="K213" s="2" t="s">
        <v>35</v>
      </c>
      <c r="L213" s="2" t="s">
        <v>27</v>
      </c>
      <c r="M213" s="14">
        <v>44728</v>
      </c>
      <c r="N213" s="12">
        <v>299.98</v>
      </c>
    </row>
    <row r="214" spans="1:14" ht="24.9" customHeight="1" thickBot="1">
      <c r="A214" s="3" t="s">
        <v>359</v>
      </c>
      <c r="B214" s="14">
        <v>45707</v>
      </c>
      <c r="C214" s="2" t="s">
        <v>123</v>
      </c>
      <c r="D214" s="2" t="s">
        <v>124</v>
      </c>
      <c r="E214" s="2" t="s">
        <v>80</v>
      </c>
      <c r="F214" s="2" t="s">
        <v>81</v>
      </c>
      <c r="G214" s="2" t="s">
        <v>19</v>
      </c>
      <c r="H214" s="18">
        <v>5</v>
      </c>
      <c r="I214" s="10">
        <v>699.99</v>
      </c>
      <c r="J214" s="2" t="s">
        <v>34</v>
      </c>
      <c r="K214" s="2" t="s">
        <v>35</v>
      </c>
      <c r="L214" s="2" t="s">
        <v>27</v>
      </c>
      <c r="M214" s="14">
        <v>45352</v>
      </c>
      <c r="N214" s="12">
        <v>3499.95</v>
      </c>
    </row>
    <row r="215" spans="1:14" ht="24.9" customHeight="1" thickBot="1">
      <c r="A215" s="3" t="s">
        <v>360</v>
      </c>
      <c r="B215" s="14">
        <v>45707</v>
      </c>
      <c r="C215" s="2" t="s">
        <v>42</v>
      </c>
      <c r="D215" s="2" t="s">
        <v>43</v>
      </c>
      <c r="E215" s="2" t="s">
        <v>44</v>
      </c>
      <c r="F215" s="2" t="s">
        <v>45</v>
      </c>
      <c r="G215" s="2" t="s">
        <v>46</v>
      </c>
      <c r="H215" s="18">
        <v>3</v>
      </c>
      <c r="I215" s="10">
        <v>149.99</v>
      </c>
      <c r="J215" s="2" t="s">
        <v>34</v>
      </c>
      <c r="K215" s="2" t="s">
        <v>21</v>
      </c>
      <c r="L215" s="2" t="s">
        <v>36</v>
      </c>
      <c r="M215" s="14">
        <v>44633</v>
      </c>
      <c r="N215" s="12">
        <v>449.97</v>
      </c>
    </row>
    <row r="216" spans="1:14" ht="24.9" customHeight="1" thickBot="1">
      <c r="A216" s="3" t="s">
        <v>361</v>
      </c>
      <c r="B216" s="14">
        <v>45708</v>
      </c>
      <c r="C216" s="2" t="s">
        <v>96</v>
      </c>
      <c r="D216" s="2" t="s">
        <v>97</v>
      </c>
      <c r="E216" s="2" t="s">
        <v>61</v>
      </c>
      <c r="F216" s="2" t="s">
        <v>62</v>
      </c>
      <c r="G216" s="2" t="s">
        <v>19</v>
      </c>
      <c r="H216" s="18">
        <v>3</v>
      </c>
      <c r="I216" s="10">
        <v>899.99</v>
      </c>
      <c r="J216" s="2" t="s">
        <v>20</v>
      </c>
      <c r="K216" s="2" t="s">
        <v>63</v>
      </c>
      <c r="L216" s="2" t="s">
        <v>36</v>
      </c>
      <c r="M216" s="14">
        <v>44613</v>
      </c>
      <c r="N216" s="12">
        <v>2699.97</v>
      </c>
    </row>
    <row r="217" spans="1:14" ht="24.9" customHeight="1" thickBot="1">
      <c r="A217" s="3" t="s">
        <v>362</v>
      </c>
      <c r="B217" s="14">
        <v>45708</v>
      </c>
      <c r="C217" s="2" t="s">
        <v>192</v>
      </c>
      <c r="D217" s="2" t="s">
        <v>193</v>
      </c>
      <c r="E217" s="2" t="s">
        <v>126</v>
      </c>
      <c r="F217" s="2" t="s">
        <v>127</v>
      </c>
      <c r="G217" s="2" t="s">
        <v>46</v>
      </c>
      <c r="H217" s="18">
        <v>3</v>
      </c>
      <c r="I217" s="10">
        <v>199.99</v>
      </c>
      <c r="J217" s="2" t="s">
        <v>20</v>
      </c>
      <c r="K217" s="2" t="s">
        <v>50</v>
      </c>
      <c r="L217" s="2" t="s">
        <v>27</v>
      </c>
      <c r="M217" s="14">
        <v>44823</v>
      </c>
      <c r="N217" s="12">
        <v>599.97</v>
      </c>
    </row>
    <row r="218" spans="1:14" ht="24.9" customHeight="1" thickBot="1">
      <c r="A218" s="3" t="s">
        <v>363</v>
      </c>
      <c r="B218" s="14">
        <v>45710</v>
      </c>
      <c r="C218" s="2" t="s">
        <v>55</v>
      </c>
      <c r="D218" s="2" t="s">
        <v>56</v>
      </c>
      <c r="E218" s="2" t="s">
        <v>105</v>
      </c>
      <c r="F218" s="2" t="s">
        <v>106</v>
      </c>
      <c r="G218" s="2" t="s">
        <v>46</v>
      </c>
      <c r="H218" s="18">
        <v>5</v>
      </c>
      <c r="I218" s="10">
        <v>299.99</v>
      </c>
      <c r="J218" s="2" t="s">
        <v>20</v>
      </c>
      <c r="K218" s="2" t="s">
        <v>50</v>
      </c>
      <c r="L218" s="2" t="s">
        <v>36</v>
      </c>
      <c r="M218" s="14">
        <v>45142</v>
      </c>
      <c r="N218" s="12">
        <v>1499.95</v>
      </c>
    </row>
    <row r="219" spans="1:14" ht="24.9" customHeight="1" thickBot="1">
      <c r="A219" s="3" t="s">
        <v>364</v>
      </c>
      <c r="B219" s="14">
        <v>45710</v>
      </c>
      <c r="C219" s="2" t="s">
        <v>150</v>
      </c>
      <c r="D219" s="2" t="s">
        <v>151</v>
      </c>
      <c r="E219" s="2" t="s">
        <v>80</v>
      </c>
      <c r="F219" s="2" t="s">
        <v>81</v>
      </c>
      <c r="G219" s="2" t="s">
        <v>19</v>
      </c>
      <c r="H219" s="18">
        <v>1</v>
      </c>
      <c r="I219" s="10">
        <v>699.99</v>
      </c>
      <c r="J219" s="2" t="s">
        <v>34</v>
      </c>
      <c r="K219" s="2" t="s">
        <v>50</v>
      </c>
      <c r="L219" s="2" t="s">
        <v>22</v>
      </c>
      <c r="M219" s="14">
        <v>44934</v>
      </c>
      <c r="N219" s="12">
        <v>699.99</v>
      </c>
    </row>
    <row r="220" spans="1:14" ht="24.9" customHeight="1" thickBot="1">
      <c r="A220" s="3" t="s">
        <v>365</v>
      </c>
      <c r="B220" s="14">
        <v>45711</v>
      </c>
      <c r="C220" s="2" t="s">
        <v>246</v>
      </c>
      <c r="D220" s="2" t="s">
        <v>247</v>
      </c>
      <c r="E220" s="2" t="s">
        <v>80</v>
      </c>
      <c r="F220" s="2" t="s">
        <v>81</v>
      </c>
      <c r="G220" s="2" t="s">
        <v>19</v>
      </c>
      <c r="H220" s="18">
        <v>1</v>
      </c>
      <c r="I220" s="10">
        <v>699.99</v>
      </c>
      <c r="J220" s="2" t="s">
        <v>20</v>
      </c>
      <c r="K220" s="2" t="s">
        <v>40</v>
      </c>
      <c r="L220" s="2" t="s">
        <v>27</v>
      </c>
      <c r="M220" s="14">
        <v>44583</v>
      </c>
      <c r="N220" s="12">
        <v>699.99</v>
      </c>
    </row>
    <row r="221" spans="1:14" ht="24.9" customHeight="1" thickBot="1">
      <c r="A221" s="3" t="s">
        <v>366</v>
      </c>
      <c r="B221" s="14">
        <v>45711</v>
      </c>
      <c r="C221" s="2" t="s">
        <v>325</v>
      </c>
      <c r="D221" s="2" t="s">
        <v>326</v>
      </c>
      <c r="E221" s="2" t="s">
        <v>44</v>
      </c>
      <c r="F221" s="2" t="s">
        <v>45</v>
      </c>
      <c r="G221" s="2" t="s">
        <v>46</v>
      </c>
      <c r="H221" s="18">
        <v>4</v>
      </c>
      <c r="I221" s="10">
        <v>149.99</v>
      </c>
      <c r="J221" s="2" t="s">
        <v>34</v>
      </c>
      <c r="K221" s="2" t="s">
        <v>40</v>
      </c>
      <c r="L221" s="2" t="s">
        <v>27</v>
      </c>
      <c r="M221" s="14">
        <v>44412</v>
      </c>
      <c r="N221" s="12">
        <v>599.96</v>
      </c>
    </row>
    <row r="222" spans="1:14" ht="24.9" customHeight="1" thickBot="1">
      <c r="A222" s="3" t="s">
        <v>367</v>
      </c>
      <c r="B222" s="14">
        <v>45711</v>
      </c>
      <c r="C222" s="2" t="s">
        <v>211</v>
      </c>
      <c r="D222" s="2" t="s">
        <v>212</v>
      </c>
      <c r="E222" s="2" t="s">
        <v>117</v>
      </c>
      <c r="F222" s="2" t="s">
        <v>118</v>
      </c>
      <c r="G222" s="2" t="s">
        <v>19</v>
      </c>
      <c r="H222" s="18">
        <v>5</v>
      </c>
      <c r="I222" s="10">
        <v>89.99</v>
      </c>
      <c r="J222" s="2" t="s">
        <v>34</v>
      </c>
      <c r="K222" s="2" t="s">
        <v>50</v>
      </c>
      <c r="L222" s="2" t="s">
        <v>27</v>
      </c>
      <c r="M222" s="14">
        <v>45140</v>
      </c>
      <c r="N222" s="12">
        <v>449.95</v>
      </c>
    </row>
    <row r="223" spans="1:14" ht="24.9" customHeight="1" thickBot="1">
      <c r="A223" s="3" t="s">
        <v>368</v>
      </c>
      <c r="B223" s="14">
        <v>45712</v>
      </c>
      <c r="C223" s="2" t="s">
        <v>138</v>
      </c>
      <c r="D223" s="2" t="s">
        <v>139</v>
      </c>
      <c r="E223" s="2" t="s">
        <v>126</v>
      </c>
      <c r="F223" s="2" t="s">
        <v>127</v>
      </c>
      <c r="G223" s="2" t="s">
        <v>46</v>
      </c>
      <c r="H223" s="18">
        <v>2</v>
      </c>
      <c r="I223" s="10">
        <v>199.99</v>
      </c>
      <c r="J223" s="2" t="s">
        <v>20</v>
      </c>
      <c r="K223" s="2" t="s">
        <v>21</v>
      </c>
      <c r="L223" s="2" t="s">
        <v>27</v>
      </c>
      <c r="M223" s="14">
        <v>44573</v>
      </c>
      <c r="N223" s="12">
        <v>399.98</v>
      </c>
    </row>
    <row r="224" spans="1:14" ht="24.9" customHeight="1" thickBot="1">
      <c r="A224" s="3" t="s">
        <v>369</v>
      </c>
      <c r="B224" s="14">
        <v>45715</v>
      </c>
      <c r="C224" s="2" t="s">
        <v>259</v>
      </c>
      <c r="D224" s="2" t="s">
        <v>260</v>
      </c>
      <c r="E224" s="2" t="s">
        <v>31</v>
      </c>
      <c r="F224" s="2" t="s">
        <v>32</v>
      </c>
      <c r="G224" s="2" t="s">
        <v>33</v>
      </c>
      <c r="H224" s="18">
        <v>4</v>
      </c>
      <c r="I224" s="10">
        <v>59.99</v>
      </c>
      <c r="J224" s="2" t="s">
        <v>20</v>
      </c>
      <c r="K224" s="2" t="s">
        <v>50</v>
      </c>
      <c r="L224" s="2" t="s">
        <v>36</v>
      </c>
      <c r="M224" s="14">
        <v>45070</v>
      </c>
      <c r="N224" s="12">
        <v>239.96</v>
      </c>
    </row>
    <row r="225" spans="1:14" ht="24.9" customHeight="1" thickBot="1">
      <c r="A225" s="3" t="s">
        <v>370</v>
      </c>
      <c r="B225" s="14">
        <v>45715</v>
      </c>
      <c r="C225" s="2" t="s">
        <v>93</v>
      </c>
      <c r="D225" s="2" t="s">
        <v>94</v>
      </c>
      <c r="E225" s="2" t="s">
        <v>105</v>
      </c>
      <c r="F225" s="2" t="s">
        <v>106</v>
      </c>
      <c r="G225" s="2" t="s">
        <v>46</v>
      </c>
      <c r="H225" s="18">
        <v>2</v>
      </c>
      <c r="I225" s="10">
        <v>299.99</v>
      </c>
      <c r="J225" s="2" t="s">
        <v>34</v>
      </c>
      <c r="K225" s="2" t="s">
        <v>35</v>
      </c>
      <c r="L225" s="2" t="s">
        <v>22</v>
      </c>
      <c r="M225" s="14">
        <v>44576</v>
      </c>
      <c r="N225" s="12">
        <v>599.98</v>
      </c>
    </row>
    <row r="226" spans="1:14" ht="24.9" customHeight="1" thickBot="1">
      <c r="A226" s="3" t="s">
        <v>371</v>
      </c>
      <c r="B226" s="14">
        <v>45718</v>
      </c>
      <c r="C226" s="2" t="s">
        <v>55</v>
      </c>
      <c r="D226" s="2" t="s">
        <v>56</v>
      </c>
      <c r="E226" s="2" t="s">
        <v>44</v>
      </c>
      <c r="F226" s="2" t="s">
        <v>45</v>
      </c>
      <c r="G226" s="2" t="s">
        <v>46</v>
      </c>
      <c r="H226" s="18">
        <v>2</v>
      </c>
      <c r="I226" s="10">
        <v>149.99</v>
      </c>
      <c r="J226" s="2" t="s">
        <v>20</v>
      </c>
      <c r="K226" s="2" t="s">
        <v>21</v>
      </c>
      <c r="L226" s="2" t="s">
        <v>22</v>
      </c>
      <c r="M226" s="14">
        <v>45068</v>
      </c>
      <c r="N226" s="12">
        <v>299.98</v>
      </c>
    </row>
    <row r="227" spans="1:14" ht="24.9" customHeight="1" thickBot="1">
      <c r="A227" s="3" t="s">
        <v>372</v>
      </c>
      <c r="B227" s="14">
        <v>45720</v>
      </c>
      <c r="C227" s="2" t="s">
        <v>226</v>
      </c>
      <c r="D227" s="2" t="s">
        <v>227</v>
      </c>
      <c r="E227" s="2" t="s">
        <v>80</v>
      </c>
      <c r="F227" s="2" t="s">
        <v>81</v>
      </c>
      <c r="G227" s="2" t="s">
        <v>19</v>
      </c>
      <c r="H227" s="18">
        <v>5</v>
      </c>
      <c r="I227" s="10">
        <v>699.99</v>
      </c>
      <c r="J227" s="2" t="s">
        <v>57</v>
      </c>
      <c r="K227" s="2" t="s">
        <v>63</v>
      </c>
      <c r="L227" s="2" t="s">
        <v>27</v>
      </c>
      <c r="M227" s="14">
        <v>45161</v>
      </c>
      <c r="N227" s="12">
        <v>3499.95</v>
      </c>
    </row>
    <row r="228" spans="1:14" ht="24.9" customHeight="1" thickBot="1">
      <c r="A228" s="3" t="s">
        <v>373</v>
      </c>
      <c r="B228" s="14">
        <v>45721</v>
      </c>
      <c r="C228" s="2" t="s">
        <v>75</v>
      </c>
      <c r="D228" s="2" t="s">
        <v>76</v>
      </c>
      <c r="E228" s="2" t="s">
        <v>31</v>
      </c>
      <c r="F228" s="2" t="s">
        <v>32</v>
      </c>
      <c r="G228" s="2" t="s">
        <v>33</v>
      </c>
      <c r="H228" s="18">
        <v>5</v>
      </c>
      <c r="I228" s="10">
        <v>59.99</v>
      </c>
      <c r="J228" s="2" t="s">
        <v>20</v>
      </c>
      <c r="K228" s="2" t="s">
        <v>50</v>
      </c>
      <c r="L228" s="2" t="s">
        <v>27</v>
      </c>
      <c r="M228" s="14">
        <v>45291</v>
      </c>
      <c r="N228" s="12">
        <v>299.95</v>
      </c>
    </row>
    <row r="229" spans="1:14" ht="24.9" customHeight="1" thickBot="1">
      <c r="A229" s="3" t="s">
        <v>374</v>
      </c>
      <c r="B229" s="14">
        <v>45723</v>
      </c>
      <c r="C229" s="2" t="s">
        <v>15</v>
      </c>
      <c r="D229" s="2" t="s">
        <v>16</v>
      </c>
      <c r="E229" s="2" t="s">
        <v>117</v>
      </c>
      <c r="F229" s="2" t="s">
        <v>118</v>
      </c>
      <c r="G229" s="2" t="s">
        <v>19</v>
      </c>
      <c r="H229" s="18">
        <v>2</v>
      </c>
      <c r="I229" s="10">
        <v>89.99</v>
      </c>
      <c r="J229" s="2" t="s">
        <v>26</v>
      </c>
      <c r="K229" s="2" t="s">
        <v>50</v>
      </c>
      <c r="L229" s="2" t="s">
        <v>27</v>
      </c>
      <c r="M229" s="14">
        <v>45295</v>
      </c>
      <c r="N229" s="12">
        <v>179.98</v>
      </c>
    </row>
    <row r="230" spans="1:14" ht="24.9" customHeight="1" thickBot="1">
      <c r="A230" s="3" t="s">
        <v>375</v>
      </c>
      <c r="B230" s="14">
        <v>45723</v>
      </c>
      <c r="C230" s="2" t="s">
        <v>120</v>
      </c>
      <c r="D230" s="2" t="s">
        <v>121</v>
      </c>
      <c r="E230" s="2" t="s">
        <v>17</v>
      </c>
      <c r="F230" s="2" t="s">
        <v>18</v>
      </c>
      <c r="G230" s="2" t="s">
        <v>19</v>
      </c>
      <c r="H230" s="18">
        <v>5</v>
      </c>
      <c r="I230" s="10">
        <v>249.99</v>
      </c>
      <c r="J230" s="2" t="s">
        <v>20</v>
      </c>
      <c r="K230" s="2" t="s">
        <v>63</v>
      </c>
      <c r="L230" s="2" t="s">
        <v>36</v>
      </c>
      <c r="M230" s="14">
        <v>44540</v>
      </c>
      <c r="N230" s="12">
        <v>1249.95</v>
      </c>
    </row>
    <row r="231" spans="1:14" ht="24.9" customHeight="1" thickBot="1">
      <c r="A231" s="3" t="s">
        <v>376</v>
      </c>
      <c r="B231" s="14">
        <v>45724</v>
      </c>
      <c r="C231" s="2" t="s">
        <v>226</v>
      </c>
      <c r="D231" s="2" t="s">
        <v>227</v>
      </c>
      <c r="E231" s="2" t="s">
        <v>44</v>
      </c>
      <c r="F231" s="2" t="s">
        <v>45</v>
      </c>
      <c r="G231" s="2" t="s">
        <v>46</v>
      </c>
      <c r="H231" s="18">
        <v>2</v>
      </c>
      <c r="I231" s="10">
        <v>149.99</v>
      </c>
      <c r="J231" s="2" t="s">
        <v>34</v>
      </c>
      <c r="K231" s="2" t="s">
        <v>21</v>
      </c>
      <c r="L231" s="2" t="s">
        <v>27</v>
      </c>
      <c r="M231" s="14">
        <v>44632</v>
      </c>
      <c r="N231" s="12">
        <v>299.98</v>
      </c>
    </row>
    <row r="232" spans="1:14" ht="24.9" customHeight="1" thickBot="1">
      <c r="A232" s="3" t="s">
        <v>377</v>
      </c>
      <c r="B232" s="14">
        <v>45724</v>
      </c>
      <c r="C232" s="2" t="s">
        <v>144</v>
      </c>
      <c r="D232" s="2" t="s">
        <v>145</v>
      </c>
      <c r="E232" s="2" t="s">
        <v>61</v>
      </c>
      <c r="F232" s="2" t="s">
        <v>62</v>
      </c>
      <c r="G232" s="2" t="s">
        <v>19</v>
      </c>
      <c r="H232" s="18">
        <v>5</v>
      </c>
      <c r="I232" s="10">
        <v>899.99</v>
      </c>
      <c r="J232" s="2" t="s">
        <v>34</v>
      </c>
      <c r="K232" s="2" t="s">
        <v>63</v>
      </c>
      <c r="L232" s="2" t="s">
        <v>27</v>
      </c>
      <c r="M232" s="14">
        <v>45389</v>
      </c>
      <c r="N232" s="12">
        <v>4499.95</v>
      </c>
    </row>
    <row r="233" spans="1:14" ht="24.9" customHeight="1" thickBot="1">
      <c r="A233" s="3" t="s">
        <v>378</v>
      </c>
      <c r="B233" s="14">
        <v>45724</v>
      </c>
      <c r="C233" s="2" t="s">
        <v>55</v>
      </c>
      <c r="D233" s="2" t="s">
        <v>56</v>
      </c>
      <c r="E233" s="2" t="s">
        <v>44</v>
      </c>
      <c r="F233" s="2" t="s">
        <v>45</v>
      </c>
      <c r="G233" s="2" t="s">
        <v>46</v>
      </c>
      <c r="H233" s="18">
        <v>4</v>
      </c>
      <c r="I233" s="10">
        <v>149.99</v>
      </c>
      <c r="J233" s="2" t="s">
        <v>20</v>
      </c>
      <c r="K233" s="2" t="s">
        <v>21</v>
      </c>
      <c r="L233" s="2" t="s">
        <v>36</v>
      </c>
      <c r="M233" s="14">
        <v>45263</v>
      </c>
      <c r="N233" s="12">
        <v>599.96</v>
      </c>
    </row>
    <row r="234" spans="1:14" ht="24.9" customHeight="1" thickBot="1">
      <c r="A234" s="3" t="s">
        <v>379</v>
      </c>
      <c r="B234" s="14">
        <v>45726</v>
      </c>
      <c r="C234" s="2" t="s">
        <v>144</v>
      </c>
      <c r="D234" s="2" t="s">
        <v>145</v>
      </c>
      <c r="E234" s="2" t="s">
        <v>17</v>
      </c>
      <c r="F234" s="2" t="s">
        <v>18</v>
      </c>
      <c r="G234" s="2" t="s">
        <v>19</v>
      </c>
      <c r="H234" s="18">
        <v>1</v>
      </c>
      <c r="I234" s="10">
        <v>249.99</v>
      </c>
      <c r="J234" s="2" t="s">
        <v>20</v>
      </c>
      <c r="K234" s="2" t="s">
        <v>40</v>
      </c>
      <c r="L234" s="2" t="s">
        <v>36</v>
      </c>
      <c r="M234" s="14">
        <v>45117</v>
      </c>
      <c r="N234" s="12">
        <v>249.99</v>
      </c>
    </row>
    <row r="235" spans="1:14" ht="24.9" customHeight="1" thickBot="1">
      <c r="A235" s="3" t="s">
        <v>380</v>
      </c>
      <c r="B235" s="14">
        <v>45734</v>
      </c>
      <c r="C235" s="2" t="s">
        <v>192</v>
      </c>
      <c r="D235" s="2" t="s">
        <v>193</v>
      </c>
      <c r="E235" s="2" t="s">
        <v>31</v>
      </c>
      <c r="F235" s="2" t="s">
        <v>32</v>
      </c>
      <c r="G235" s="2" t="s">
        <v>33</v>
      </c>
      <c r="H235" s="18">
        <v>2</v>
      </c>
      <c r="I235" s="10">
        <v>59.99</v>
      </c>
      <c r="J235" s="2" t="s">
        <v>26</v>
      </c>
      <c r="K235" s="2" t="s">
        <v>50</v>
      </c>
      <c r="L235" s="2" t="s">
        <v>22</v>
      </c>
      <c r="M235" s="14">
        <v>45193</v>
      </c>
      <c r="N235" s="12">
        <v>119.98</v>
      </c>
    </row>
    <row r="236" spans="1:14" ht="24.9" customHeight="1" thickBot="1">
      <c r="A236" s="3" t="s">
        <v>381</v>
      </c>
      <c r="B236" s="14">
        <v>45737</v>
      </c>
      <c r="C236" s="2" t="s">
        <v>132</v>
      </c>
      <c r="D236" s="2" t="s">
        <v>133</v>
      </c>
      <c r="E236" s="2" t="s">
        <v>44</v>
      </c>
      <c r="F236" s="2" t="s">
        <v>45</v>
      </c>
      <c r="G236" s="2" t="s">
        <v>46</v>
      </c>
      <c r="H236" s="18">
        <v>2</v>
      </c>
      <c r="I236" s="10">
        <v>149.99</v>
      </c>
      <c r="J236" s="2" t="s">
        <v>20</v>
      </c>
      <c r="K236" s="2" t="s">
        <v>50</v>
      </c>
      <c r="L236" s="2" t="s">
        <v>27</v>
      </c>
      <c r="M236" s="14">
        <v>45233</v>
      </c>
      <c r="N236" s="12">
        <v>299.98</v>
      </c>
    </row>
    <row r="237" spans="1:14" ht="24.9" customHeight="1" thickBot="1">
      <c r="A237" s="3" t="s">
        <v>382</v>
      </c>
      <c r="B237" s="14">
        <v>45737</v>
      </c>
      <c r="C237" s="2" t="s">
        <v>150</v>
      </c>
      <c r="D237" s="2" t="s">
        <v>151</v>
      </c>
      <c r="E237" s="2" t="s">
        <v>61</v>
      </c>
      <c r="F237" s="2" t="s">
        <v>62</v>
      </c>
      <c r="G237" s="2" t="s">
        <v>19</v>
      </c>
      <c r="H237" s="18">
        <v>3</v>
      </c>
      <c r="I237" s="10">
        <v>899.99</v>
      </c>
      <c r="J237" s="2" t="s">
        <v>57</v>
      </c>
      <c r="K237" s="2" t="s">
        <v>40</v>
      </c>
      <c r="L237" s="2" t="s">
        <v>27</v>
      </c>
      <c r="M237" s="14">
        <v>44876</v>
      </c>
      <c r="N237" s="12">
        <v>2699.97</v>
      </c>
    </row>
    <row r="238" spans="1:14" ht="24.9" customHeight="1" thickBot="1">
      <c r="A238" s="3" t="s">
        <v>383</v>
      </c>
      <c r="B238" s="14">
        <v>45737</v>
      </c>
      <c r="C238" s="2" t="s">
        <v>48</v>
      </c>
      <c r="D238" s="2" t="s">
        <v>49</v>
      </c>
      <c r="E238" s="2" t="s">
        <v>61</v>
      </c>
      <c r="F238" s="2" t="s">
        <v>62</v>
      </c>
      <c r="G238" s="2" t="s">
        <v>19</v>
      </c>
      <c r="H238" s="18">
        <v>3</v>
      </c>
      <c r="I238" s="10">
        <v>899.99</v>
      </c>
      <c r="J238" s="2" t="s">
        <v>34</v>
      </c>
      <c r="K238" s="2" t="s">
        <v>40</v>
      </c>
      <c r="L238" s="2" t="s">
        <v>22</v>
      </c>
      <c r="M238" s="14">
        <v>44975</v>
      </c>
      <c r="N238" s="12">
        <v>2699.97</v>
      </c>
    </row>
    <row r="239" spans="1:14" ht="24.9" customHeight="1" thickBot="1">
      <c r="A239" s="3" t="s">
        <v>384</v>
      </c>
      <c r="B239" s="14">
        <v>45739</v>
      </c>
      <c r="C239" s="2" t="s">
        <v>15</v>
      </c>
      <c r="D239" s="2" t="s">
        <v>16</v>
      </c>
      <c r="E239" s="2" t="s">
        <v>105</v>
      </c>
      <c r="F239" s="2" t="s">
        <v>106</v>
      </c>
      <c r="G239" s="2" t="s">
        <v>46</v>
      </c>
      <c r="H239" s="18">
        <v>3</v>
      </c>
      <c r="I239" s="10">
        <v>299.99</v>
      </c>
      <c r="J239" s="2" t="s">
        <v>26</v>
      </c>
      <c r="K239" s="2" t="s">
        <v>50</v>
      </c>
      <c r="L239" s="2" t="s">
        <v>27</v>
      </c>
      <c r="M239" s="14">
        <v>45234</v>
      </c>
      <c r="N239" s="12">
        <v>899.97</v>
      </c>
    </row>
    <row r="240" spans="1:14" ht="24.9" customHeight="1" thickBot="1">
      <c r="A240" s="3" t="s">
        <v>385</v>
      </c>
      <c r="B240" s="14">
        <v>45740</v>
      </c>
      <c r="C240" s="2" t="s">
        <v>386</v>
      </c>
      <c r="D240" s="2" t="s">
        <v>387</v>
      </c>
      <c r="E240" s="2" t="s">
        <v>44</v>
      </c>
      <c r="F240" s="2" t="s">
        <v>45</v>
      </c>
      <c r="G240" s="2" t="s">
        <v>46</v>
      </c>
      <c r="H240" s="18">
        <v>4</v>
      </c>
      <c r="I240" s="10">
        <v>149.99</v>
      </c>
      <c r="J240" s="2" t="s">
        <v>34</v>
      </c>
      <c r="K240" s="2" t="s">
        <v>50</v>
      </c>
      <c r="L240" s="2" t="s">
        <v>36</v>
      </c>
      <c r="M240" s="14">
        <v>44560</v>
      </c>
      <c r="N240" s="12">
        <v>599.96</v>
      </c>
    </row>
    <row r="241" spans="1:14" ht="24.9" customHeight="1" thickBot="1">
      <c r="A241" s="3" t="s">
        <v>388</v>
      </c>
      <c r="B241" s="14">
        <v>45743</v>
      </c>
      <c r="C241" s="2" t="s">
        <v>102</v>
      </c>
      <c r="D241" s="2" t="s">
        <v>103</v>
      </c>
      <c r="E241" s="2" t="s">
        <v>114</v>
      </c>
      <c r="F241" s="2" t="s">
        <v>115</v>
      </c>
      <c r="G241" s="2" t="s">
        <v>33</v>
      </c>
      <c r="H241" s="18">
        <v>4</v>
      </c>
      <c r="I241" s="10">
        <v>79.989999999999995</v>
      </c>
      <c r="J241" s="2" t="s">
        <v>26</v>
      </c>
      <c r="K241" s="2" t="s">
        <v>21</v>
      </c>
      <c r="L241" s="2" t="s">
        <v>22</v>
      </c>
      <c r="M241" s="14">
        <v>45288</v>
      </c>
      <c r="N241" s="12">
        <v>319.95999999999998</v>
      </c>
    </row>
    <row r="242" spans="1:14" ht="24.9" customHeight="1" thickBot="1">
      <c r="A242" s="3" t="s">
        <v>389</v>
      </c>
      <c r="B242" s="14">
        <v>45745</v>
      </c>
      <c r="C242" s="2" t="s">
        <v>185</v>
      </c>
      <c r="D242" s="2" t="s">
        <v>186</v>
      </c>
      <c r="E242" s="2" t="s">
        <v>117</v>
      </c>
      <c r="F242" s="2" t="s">
        <v>118</v>
      </c>
      <c r="G242" s="2" t="s">
        <v>19</v>
      </c>
      <c r="H242" s="18">
        <v>5</v>
      </c>
      <c r="I242" s="10">
        <v>89.99</v>
      </c>
      <c r="J242" s="2" t="s">
        <v>34</v>
      </c>
      <c r="K242" s="2" t="s">
        <v>35</v>
      </c>
      <c r="L242" s="2" t="s">
        <v>22</v>
      </c>
      <c r="M242" s="14">
        <v>44704</v>
      </c>
      <c r="N242" s="12">
        <v>449.95</v>
      </c>
    </row>
    <row r="243" spans="1:14" ht="24.9" customHeight="1" thickBot="1">
      <c r="A243" s="3" t="s">
        <v>390</v>
      </c>
      <c r="B243" s="14">
        <v>45746</v>
      </c>
      <c r="C243" s="2" t="s">
        <v>93</v>
      </c>
      <c r="D243" s="2" t="s">
        <v>94</v>
      </c>
      <c r="E243" s="2" t="s">
        <v>44</v>
      </c>
      <c r="F243" s="2" t="s">
        <v>45</v>
      </c>
      <c r="G243" s="2" t="s">
        <v>46</v>
      </c>
      <c r="H243" s="18">
        <v>3</v>
      </c>
      <c r="I243" s="10">
        <v>149.99</v>
      </c>
      <c r="J243" s="2" t="s">
        <v>34</v>
      </c>
      <c r="K243" s="2" t="s">
        <v>21</v>
      </c>
      <c r="L243" s="2" t="s">
        <v>36</v>
      </c>
      <c r="M243" s="14">
        <v>45171</v>
      </c>
      <c r="N243" s="12">
        <v>449.97</v>
      </c>
    </row>
    <row r="244" spans="1:14" ht="24.9" customHeight="1" thickBot="1">
      <c r="A244" s="3" t="s">
        <v>391</v>
      </c>
      <c r="B244" s="14">
        <v>45746</v>
      </c>
      <c r="C244" s="2" t="s">
        <v>65</v>
      </c>
      <c r="D244" s="2" t="s">
        <v>66</v>
      </c>
      <c r="E244" s="2" t="s">
        <v>117</v>
      </c>
      <c r="F244" s="2" t="s">
        <v>118</v>
      </c>
      <c r="G244" s="2" t="s">
        <v>19</v>
      </c>
      <c r="H244" s="18">
        <v>2</v>
      </c>
      <c r="I244" s="10">
        <v>89.99</v>
      </c>
      <c r="J244" s="2" t="s">
        <v>57</v>
      </c>
      <c r="K244" s="2" t="s">
        <v>50</v>
      </c>
      <c r="L244" s="2" t="s">
        <v>27</v>
      </c>
      <c r="M244" s="14">
        <v>44522</v>
      </c>
      <c r="N244" s="12">
        <v>179.98</v>
      </c>
    </row>
    <row r="245" spans="1:14" ht="24.9" customHeight="1" thickBot="1">
      <c r="A245" s="3" t="s">
        <v>392</v>
      </c>
      <c r="B245" s="14">
        <v>45748</v>
      </c>
      <c r="C245" s="2" t="s">
        <v>102</v>
      </c>
      <c r="D245" s="2" t="s">
        <v>103</v>
      </c>
      <c r="E245" s="2" t="s">
        <v>80</v>
      </c>
      <c r="F245" s="2" t="s">
        <v>81</v>
      </c>
      <c r="G245" s="2" t="s">
        <v>19</v>
      </c>
      <c r="H245" s="18">
        <v>2</v>
      </c>
      <c r="I245" s="10">
        <v>699.99</v>
      </c>
      <c r="J245" s="2" t="s">
        <v>34</v>
      </c>
      <c r="K245" s="2" t="s">
        <v>40</v>
      </c>
      <c r="L245" s="2" t="s">
        <v>36</v>
      </c>
      <c r="M245" s="14">
        <v>44618</v>
      </c>
      <c r="N245" s="12">
        <v>1399.98</v>
      </c>
    </row>
    <row r="246" spans="1:14" ht="24.9" customHeight="1" thickBot="1">
      <c r="A246" s="3" t="s">
        <v>393</v>
      </c>
      <c r="B246" s="14">
        <v>45749</v>
      </c>
      <c r="C246" s="2" t="s">
        <v>123</v>
      </c>
      <c r="D246" s="2" t="s">
        <v>124</v>
      </c>
      <c r="E246" s="2" t="s">
        <v>61</v>
      </c>
      <c r="F246" s="2" t="s">
        <v>62</v>
      </c>
      <c r="G246" s="2" t="s">
        <v>19</v>
      </c>
      <c r="H246" s="18">
        <v>3</v>
      </c>
      <c r="I246" s="10">
        <v>899.99</v>
      </c>
      <c r="J246" s="2" t="s">
        <v>20</v>
      </c>
      <c r="K246" s="2" t="s">
        <v>21</v>
      </c>
      <c r="L246" s="2" t="s">
        <v>36</v>
      </c>
      <c r="M246" s="14">
        <v>44953</v>
      </c>
      <c r="N246" s="12">
        <v>2699.97</v>
      </c>
    </row>
    <row r="247" spans="1:14" ht="24.9" customHeight="1" thickBot="1">
      <c r="A247" s="3" t="s">
        <v>394</v>
      </c>
      <c r="B247" s="14">
        <v>45755</v>
      </c>
      <c r="C247" s="2" t="s">
        <v>93</v>
      </c>
      <c r="D247" s="2" t="s">
        <v>94</v>
      </c>
      <c r="E247" s="2" t="s">
        <v>114</v>
      </c>
      <c r="F247" s="2" t="s">
        <v>115</v>
      </c>
      <c r="G247" s="2" t="s">
        <v>33</v>
      </c>
      <c r="H247" s="18">
        <v>3</v>
      </c>
      <c r="I247" s="10">
        <v>79.989999999999995</v>
      </c>
      <c r="J247" s="2" t="s">
        <v>26</v>
      </c>
      <c r="K247" s="2" t="s">
        <v>40</v>
      </c>
      <c r="L247" s="2" t="s">
        <v>22</v>
      </c>
      <c r="M247" s="14">
        <v>44511</v>
      </c>
      <c r="N247" s="12">
        <v>239.97</v>
      </c>
    </row>
    <row r="248" spans="1:14" ht="24.9" customHeight="1" thickBot="1">
      <c r="A248" s="3" t="s">
        <v>395</v>
      </c>
      <c r="B248" s="14">
        <v>45756</v>
      </c>
      <c r="C248" s="2" t="s">
        <v>59</v>
      </c>
      <c r="D248" s="2" t="s">
        <v>60</v>
      </c>
      <c r="E248" s="2" t="s">
        <v>117</v>
      </c>
      <c r="F248" s="2" t="s">
        <v>118</v>
      </c>
      <c r="G248" s="2" t="s">
        <v>19</v>
      </c>
      <c r="H248" s="18">
        <v>1</v>
      </c>
      <c r="I248" s="10">
        <v>89.99</v>
      </c>
      <c r="J248" s="2" t="s">
        <v>57</v>
      </c>
      <c r="K248" s="2" t="s">
        <v>63</v>
      </c>
      <c r="L248" s="2" t="s">
        <v>22</v>
      </c>
      <c r="M248" s="14">
        <v>45346</v>
      </c>
      <c r="N248" s="12">
        <v>89.99</v>
      </c>
    </row>
    <row r="249" spans="1:14" ht="24.9" customHeight="1" thickBot="1">
      <c r="A249" s="3" t="s">
        <v>396</v>
      </c>
      <c r="B249" s="14">
        <v>45758</v>
      </c>
      <c r="C249" s="2" t="s">
        <v>293</v>
      </c>
      <c r="D249" s="2" t="s">
        <v>294</v>
      </c>
      <c r="E249" s="2" t="s">
        <v>80</v>
      </c>
      <c r="F249" s="2" t="s">
        <v>81</v>
      </c>
      <c r="G249" s="2" t="s">
        <v>19</v>
      </c>
      <c r="H249" s="18">
        <v>3</v>
      </c>
      <c r="I249" s="10">
        <v>699.99</v>
      </c>
      <c r="J249" s="2" t="s">
        <v>34</v>
      </c>
      <c r="K249" s="2" t="s">
        <v>40</v>
      </c>
      <c r="L249" s="2" t="s">
        <v>22</v>
      </c>
      <c r="M249" s="14">
        <v>44909</v>
      </c>
      <c r="N249" s="12">
        <v>2099.9699999999998</v>
      </c>
    </row>
    <row r="250" spans="1:14" ht="24.9" customHeight="1" thickBot="1">
      <c r="A250" s="3" t="s">
        <v>397</v>
      </c>
      <c r="B250" s="14">
        <v>45758</v>
      </c>
      <c r="C250" s="2" t="s">
        <v>226</v>
      </c>
      <c r="D250" s="2" t="s">
        <v>227</v>
      </c>
      <c r="E250" s="2" t="s">
        <v>117</v>
      </c>
      <c r="F250" s="2" t="s">
        <v>118</v>
      </c>
      <c r="G250" s="2" t="s">
        <v>19</v>
      </c>
      <c r="H250" s="18">
        <v>2</v>
      </c>
      <c r="I250" s="10">
        <v>89.99</v>
      </c>
      <c r="J250" s="2" t="s">
        <v>57</v>
      </c>
      <c r="K250" s="2" t="s">
        <v>63</v>
      </c>
      <c r="L250" s="2" t="s">
        <v>22</v>
      </c>
      <c r="M250" s="14">
        <v>45088</v>
      </c>
      <c r="N250" s="12">
        <v>179.98</v>
      </c>
    </row>
    <row r="251" spans="1:14" ht="24.9" customHeight="1">
      <c r="A251" s="7" t="s">
        <v>398</v>
      </c>
      <c r="B251" s="15">
        <v>45758</v>
      </c>
      <c r="C251" s="8" t="s">
        <v>138</v>
      </c>
      <c r="D251" s="8" t="s">
        <v>139</v>
      </c>
      <c r="E251" s="8" t="s">
        <v>117</v>
      </c>
      <c r="F251" s="8" t="s">
        <v>118</v>
      </c>
      <c r="G251" s="8" t="s">
        <v>19</v>
      </c>
      <c r="H251" s="19">
        <v>3</v>
      </c>
      <c r="I251" s="11">
        <v>89.99</v>
      </c>
      <c r="J251" s="8" t="s">
        <v>57</v>
      </c>
      <c r="K251" s="8" t="s">
        <v>40</v>
      </c>
      <c r="L251" s="8" t="s">
        <v>27</v>
      </c>
      <c r="M251" s="15">
        <v>44878</v>
      </c>
      <c r="N251" s="13">
        <v>269.97000000000003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2E72-D610-45E8-AED0-8592C1AF1A8B}">
  <dimension ref="A1:E2"/>
  <sheetViews>
    <sheetView workbookViewId="0">
      <selection activeCell="C8" sqref="C8"/>
    </sheetView>
  </sheetViews>
  <sheetFormatPr defaultRowHeight="13.8"/>
  <cols>
    <col min="1" max="1" width="20" bestFit="1" customWidth="1"/>
    <col min="2" max="2" width="14" bestFit="1" customWidth="1"/>
    <col min="3" max="3" width="11.296875" bestFit="1" customWidth="1"/>
    <col min="4" max="4" width="20.3984375" bestFit="1" customWidth="1"/>
    <col min="5" max="5" width="19.59765625" bestFit="1" customWidth="1"/>
  </cols>
  <sheetData>
    <row r="1" spans="1:5" ht="15">
      <c r="A1" s="57" t="s">
        <v>402</v>
      </c>
      <c r="B1" s="57" t="s">
        <v>403</v>
      </c>
      <c r="C1" s="57" t="s">
        <v>399</v>
      </c>
      <c r="D1" s="57" t="s">
        <v>400</v>
      </c>
      <c r="E1" s="57" t="s">
        <v>401</v>
      </c>
    </row>
    <row r="2" spans="1:5">
      <c r="A2" s="58">
        <v>62</v>
      </c>
      <c r="B2" s="59">
        <f>EOMONTH(SalesData[[#This Row],[Date]],0)</f>
        <v>45412</v>
      </c>
      <c r="C2" s="59">
        <f ca="1">TODAY()</f>
        <v>46324</v>
      </c>
      <c r="D2" s="60">
        <f ca="1">NOW()</f>
        <v>46324.384512731478</v>
      </c>
      <c r="E2" s="58">
        <f ca="1">DATEDIF(SalesData[[#This Row],[Customer_Since]],C2,"Y")</f>
        <v>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0D65-234B-499B-9312-D3BCF5C90A5F}">
  <dimension ref="A1:B49"/>
  <sheetViews>
    <sheetView workbookViewId="0">
      <selection activeCell="C4" sqref="C4"/>
    </sheetView>
  </sheetViews>
  <sheetFormatPr defaultColWidth="25.69921875" defaultRowHeight="20.100000000000001" customHeight="1"/>
  <sheetData>
    <row r="1" spans="1:2" ht="20.100000000000001" customHeight="1">
      <c r="A1" s="62" t="s">
        <v>455</v>
      </c>
      <c r="B1" s="62"/>
    </row>
    <row r="2" spans="1:2" ht="20.100000000000001" customHeight="1">
      <c r="A2" s="63" t="s">
        <v>456</v>
      </c>
      <c r="B2" s="63" t="s">
        <v>457</v>
      </c>
    </row>
    <row r="3" spans="1:2" ht="20.100000000000001" customHeight="1">
      <c r="A3" s="64" t="str" cm="1">
        <f t="array" ref="A3:A49">_xlfn._xlws.FILTER('Raw Data'!D2:D201,'Raw Data'!N2:N201&gt;1000,"No customers found")</f>
        <v>Robert Thomas</v>
      </c>
      <c r="B3" s="65" cm="1">
        <f t="array" ref="B3:B49">_xlfn._xlws.FILTER('Raw Data'!N2:N201,'Raw Data'!N2:N201&gt;=1000,"")</f>
        <v>2699.97</v>
      </c>
    </row>
    <row r="4" spans="1:2" ht="20.100000000000001" customHeight="1">
      <c r="A4" s="64" t="str">
        <v>Michelle Rogers</v>
      </c>
      <c r="B4" s="65">
        <v>2099.9699999999998</v>
      </c>
    </row>
    <row r="5" spans="1:2" ht="20.100000000000001" customHeight="1">
      <c r="A5" s="64" t="str">
        <v>Maria Garcia</v>
      </c>
      <c r="B5" s="65">
        <v>1399.98</v>
      </c>
    </row>
    <row r="6" spans="1:2" ht="20.100000000000001" customHeight="1">
      <c r="A6" s="64" t="str">
        <v>Mark Carter</v>
      </c>
      <c r="B6" s="65">
        <v>3599.96</v>
      </c>
    </row>
    <row r="7" spans="1:2" ht="20.100000000000001" customHeight="1">
      <c r="A7" s="64" t="str">
        <v>Barbara Young</v>
      </c>
      <c r="B7" s="65">
        <v>3499.95</v>
      </c>
    </row>
    <row r="8" spans="1:2" ht="20.100000000000001" customHeight="1">
      <c r="A8" s="64" t="str">
        <v>Patricia Moore</v>
      </c>
      <c r="B8" s="65">
        <v>2799.96</v>
      </c>
    </row>
    <row r="9" spans="1:2" ht="20.100000000000001" customHeight="1">
      <c r="A9" s="64" t="str">
        <v>Mark Carter</v>
      </c>
      <c r="B9" s="65">
        <v>1199.96</v>
      </c>
    </row>
    <row r="10" spans="1:2" ht="20.100000000000001" customHeight="1">
      <c r="A10" s="64" t="str">
        <v>Nancy Collins</v>
      </c>
      <c r="B10" s="65">
        <v>1249.95</v>
      </c>
    </row>
    <row r="11" spans="1:2" ht="20.100000000000001" customHeight="1">
      <c r="A11" s="64" t="str">
        <v>Susan Green</v>
      </c>
      <c r="B11" s="65">
        <v>1499.95</v>
      </c>
    </row>
    <row r="12" spans="1:2" ht="20.100000000000001" customHeight="1">
      <c r="A12" s="64" t="str">
        <v>Jennifer Taylor</v>
      </c>
      <c r="B12" s="65">
        <v>3499.95</v>
      </c>
    </row>
    <row r="13" spans="1:2" ht="20.100000000000001" customHeight="1">
      <c r="A13" s="64" t="str">
        <v>Joseph Jackson</v>
      </c>
      <c r="B13" s="65">
        <v>1249.95</v>
      </c>
    </row>
    <row r="14" spans="1:2" ht="20.100000000000001" customHeight="1">
      <c r="A14" s="64" t="str">
        <v>Paul Baker</v>
      </c>
      <c r="B14" s="65">
        <v>4499.95</v>
      </c>
    </row>
    <row r="15" spans="1:2" ht="20.100000000000001" customHeight="1">
      <c r="A15" s="64" t="str">
        <v>Edward Mitchell</v>
      </c>
      <c r="B15" s="65">
        <v>4499.95</v>
      </c>
    </row>
    <row r="16" spans="1:2" ht="20.100000000000001" customHeight="1">
      <c r="A16" s="64" t="str">
        <v>Kathleen Bennett</v>
      </c>
      <c r="B16" s="65">
        <v>2099.9699999999998</v>
      </c>
    </row>
    <row r="17" spans="1:2" ht="20.100000000000001" customHeight="1">
      <c r="A17" s="64" t="str">
        <v>Patricia Moore</v>
      </c>
      <c r="B17" s="65">
        <v>3599.96</v>
      </c>
    </row>
    <row r="18" spans="1:2" ht="20.100000000000001" customHeight="1">
      <c r="A18" s="64" t="str">
        <v>Michael Brown</v>
      </c>
      <c r="B18" s="65">
        <v>1399.98</v>
      </c>
    </row>
    <row r="19" spans="1:2" ht="20.100000000000001" customHeight="1">
      <c r="A19" s="64" t="str">
        <v>Joseph Jackson</v>
      </c>
      <c r="B19" s="65">
        <v>4499.95</v>
      </c>
    </row>
    <row r="20" spans="1:2" ht="20.100000000000001" customHeight="1">
      <c r="A20" s="64" t="str">
        <v>Mark Carter</v>
      </c>
      <c r="B20" s="65">
        <v>1399.98</v>
      </c>
    </row>
    <row r="21" spans="1:2" ht="20.100000000000001" customHeight="1">
      <c r="A21" s="64" t="str">
        <v>Helen Roberts</v>
      </c>
      <c r="B21" s="65">
        <v>3599.96</v>
      </c>
    </row>
    <row r="22" spans="1:2" ht="20.100000000000001" customHeight="1">
      <c r="A22" s="64" t="str">
        <v>Mark Carter</v>
      </c>
      <c r="B22" s="65">
        <v>1499.95</v>
      </c>
    </row>
    <row r="23" spans="1:2" ht="20.100000000000001" customHeight="1">
      <c r="A23" s="64" t="str">
        <v>Margaret Wright</v>
      </c>
      <c r="B23" s="65">
        <v>1249.95</v>
      </c>
    </row>
    <row r="24" spans="1:2" ht="20.100000000000001" customHeight="1">
      <c r="A24" s="64" t="str">
        <v>Gerald Murphy</v>
      </c>
      <c r="B24" s="65">
        <v>4499.95</v>
      </c>
    </row>
    <row r="25" spans="1:2" ht="20.100000000000001" customHeight="1">
      <c r="A25" s="64" t="str">
        <v>Sandra Phillips</v>
      </c>
      <c r="B25" s="65">
        <v>1399.98</v>
      </c>
    </row>
    <row r="26" spans="1:2" ht="20.100000000000001" customHeight="1">
      <c r="A26" s="64" t="str">
        <v>Lawrence Reed</v>
      </c>
      <c r="B26" s="65">
        <v>1399.98</v>
      </c>
    </row>
    <row r="27" spans="1:2" ht="20.100000000000001" customHeight="1">
      <c r="A27" s="64" t="str">
        <v>Peter Richardson</v>
      </c>
      <c r="B27" s="65">
        <v>2799.96</v>
      </c>
    </row>
    <row r="28" spans="1:2" ht="20.100000000000001" customHeight="1">
      <c r="A28" s="64" t="str">
        <v>Sandra Phillips</v>
      </c>
      <c r="B28" s="65">
        <v>2699.97</v>
      </c>
    </row>
    <row r="29" spans="1:2" ht="20.100000000000001" customHeight="1">
      <c r="A29" s="64" t="str">
        <v>Michael Brown</v>
      </c>
      <c r="B29" s="65">
        <v>1199.96</v>
      </c>
    </row>
    <row r="30" spans="1:2" ht="20.100000000000001" customHeight="1">
      <c r="A30" s="64" t="str">
        <v>Elizabeth Hall</v>
      </c>
      <c r="B30" s="65">
        <v>1399.98</v>
      </c>
    </row>
    <row r="31" spans="1:2" ht="20.100000000000001" customHeight="1">
      <c r="A31" s="64" t="str">
        <v>George Adams</v>
      </c>
      <c r="B31" s="65">
        <v>2699.97</v>
      </c>
    </row>
    <row r="32" spans="1:2" ht="20.100000000000001" customHeight="1">
      <c r="A32" s="64" t="str">
        <v>Barbara Young</v>
      </c>
      <c r="B32" s="65">
        <v>3499.95</v>
      </c>
    </row>
    <row r="33" spans="1:2" ht="20.100000000000001" customHeight="1">
      <c r="A33" s="64" t="str">
        <v>Raymond Ross</v>
      </c>
      <c r="B33" s="65">
        <v>2799.96</v>
      </c>
    </row>
    <row r="34" spans="1:2" ht="20.100000000000001" customHeight="1">
      <c r="A34" s="64" t="str">
        <v>Sarah Davis</v>
      </c>
      <c r="B34" s="65">
        <v>1399.98</v>
      </c>
    </row>
    <row r="35" spans="1:2" ht="20.100000000000001" customHeight="1">
      <c r="A35" s="64" t="str">
        <v>Betty Campbell</v>
      </c>
      <c r="B35" s="65">
        <v>3499.95</v>
      </c>
    </row>
    <row r="36" spans="1:2" ht="20.100000000000001" customHeight="1">
      <c r="A36" s="64" t="str">
        <v>Paul Baker</v>
      </c>
      <c r="B36" s="65">
        <v>1249.95</v>
      </c>
    </row>
    <row r="37" spans="1:2" ht="20.100000000000001" customHeight="1">
      <c r="A37" s="64" t="str">
        <v>Mark Carter</v>
      </c>
      <c r="B37" s="65">
        <v>1399.98</v>
      </c>
    </row>
    <row r="38" spans="1:2" ht="20.100000000000001" customHeight="1">
      <c r="A38" s="64" t="str">
        <v>Sarah Davis</v>
      </c>
      <c r="B38" s="65">
        <v>2099.9699999999998</v>
      </c>
    </row>
    <row r="39" spans="1:2" ht="20.100000000000001" customHeight="1">
      <c r="A39" s="64" t="str">
        <v>Douglas Watson</v>
      </c>
      <c r="B39" s="65">
        <v>1249.95</v>
      </c>
    </row>
    <row r="40" spans="1:2" ht="20.100000000000001" customHeight="1">
      <c r="A40" s="64" t="str">
        <v>Charles Allen</v>
      </c>
      <c r="B40" s="65">
        <v>1249.95</v>
      </c>
    </row>
    <row r="41" spans="1:2" ht="20.100000000000001" customHeight="1">
      <c r="A41" s="64" t="str">
        <v>Mark Carter</v>
      </c>
      <c r="B41" s="65">
        <v>3499.95</v>
      </c>
    </row>
    <row r="42" spans="1:2" ht="20.100000000000001" customHeight="1">
      <c r="A42" s="64" t="str">
        <v>Dorothy Nelson</v>
      </c>
      <c r="B42" s="65">
        <v>2799.96</v>
      </c>
    </row>
    <row r="43" spans="1:2" ht="20.100000000000001" customHeight="1">
      <c r="A43" s="64" t="str">
        <v>Peter Richardson</v>
      </c>
      <c r="B43" s="65">
        <v>1799.98</v>
      </c>
    </row>
    <row r="44" spans="1:2" ht="20.100000000000001" customHeight="1">
      <c r="A44" s="64" t="str">
        <v>Daniel King</v>
      </c>
      <c r="B44" s="65">
        <v>4499.95</v>
      </c>
    </row>
    <row r="45" spans="1:2" ht="20.100000000000001" customHeight="1">
      <c r="A45" s="64" t="str">
        <v>Karen Hill</v>
      </c>
      <c r="B45" s="65">
        <v>2099.9699999999998</v>
      </c>
    </row>
    <row r="46" spans="1:2" ht="20.100000000000001" customHeight="1">
      <c r="A46" s="64" t="str">
        <v>Virginia Sanders</v>
      </c>
      <c r="B46" s="65">
        <v>1249.95</v>
      </c>
    </row>
    <row r="47" spans="1:2" ht="20.100000000000001" customHeight="1">
      <c r="A47" s="64" t="str">
        <v>Michelle Rogers</v>
      </c>
      <c r="B47" s="65">
        <v>2099.9699999999998</v>
      </c>
    </row>
    <row r="48" spans="1:2" ht="20.100000000000001" customHeight="1">
      <c r="A48" s="64" t="str">
        <v>Elizabeth Hall</v>
      </c>
      <c r="B48" s="65">
        <v>1499.95</v>
      </c>
    </row>
    <row r="49" spans="1:2" ht="20.100000000000001" customHeight="1">
      <c r="A49" s="64" t="str">
        <v>William White</v>
      </c>
      <c r="B49" s="65">
        <v>3599.96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E470-CF80-459B-A82C-F6812A7D70C7}">
  <dimension ref="A1:A251"/>
  <sheetViews>
    <sheetView workbookViewId="0"/>
  </sheetViews>
  <sheetFormatPr defaultRowHeight="13.8"/>
  <cols>
    <col min="1" max="1" width="16.69921875" style="1" customWidth="1"/>
  </cols>
  <sheetData>
    <row r="1" spans="1:1" ht="15" thickBot="1">
      <c r="A1" s="66" t="s">
        <v>13</v>
      </c>
    </row>
    <row r="2" spans="1:1" ht="15" thickBot="1">
      <c r="A2" s="12">
        <v>749.97</v>
      </c>
    </row>
    <row r="3" spans="1:1" ht="15" thickBot="1">
      <c r="A3" s="12">
        <v>749.97</v>
      </c>
    </row>
    <row r="4" spans="1:1" ht="15" thickBot="1">
      <c r="A4" s="12">
        <v>179.97</v>
      </c>
    </row>
    <row r="5" spans="1:1" ht="15" thickBot="1">
      <c r="A5" s="12">
        <v>179.97</v>
      </c>
    </row>
    <row r="6" spans="1:1" ht="15" thickBot="1">
      <c r="A6" s="12">
        <v>749.95</v>
      </c>
    </row>
    <row r="7" spans="1:1" ht="15" thickBot="1">
      <c r="A7" s="12">
        <v>119.98</v>
      </c>
    </row>
    <row r="8" spans="1:1" ht="15" thickBot="1">
      <c r="A8" s="12">
        <v>749.95</v>
      </c>
    </row>
    <row r="9" spans="1:1" ht="15" thickBot="1">
      <c r="A9" s="12">
        <v>179.97</v>
      </c>
    </row>
    <row r="10" spans="1:1" ht="15" thickBot="1">
      <c r="A10" s="12">
        <v>2699.97</v>
      </c>
    </row>
    <row r="11" spans="1:1" ht="15" thickBot="1">
      <c r="A11" s="12">
        <v>179.97</v>
      </c>
    </row>
    <row r="12" spans="1:1" ht="15" thickBot="1">
      <c r="A12" s="12">
        <v>149.99</v>
      </c>
    </row>
    <row r="13" spans="1:1" ht="15" thickBot="1">
      <c r="A13" s="12">
        <v>749.95</v>
      </c>
    </row>
    <row r="14" spans="1:1" ht="15" thickBot="1">
      <c r="A14" s="12">
        <v>449.97</v>
      </c>
    </row>
    <row r="15" spans="1:1" ht="15" thickBot="1">
      <c r="A15" s="12">
        <v>179.97</v>
      </c>
    </row>
    <row r="16" spans="1:1" ht="15" thickBot="1">
      <c r="A16" s="12">
        <v>2099.9699999999998</v>
      </c>
    </row>
    <row r="17" spans="1:1" ht="15" thickBot="1">
      <c r="A17" s="12">
        <v>899.99</v>
      </c>
    </row>
    <row r="18" spans="1:1" ht="15" thickBot="1">
      <c r="A18" s="12">
        <v>599.96</v>
      </c>
    </row>
    <row r="19" spans="1:1" ht="15" thickBot="1">
      <c r="A19" s="12">
        <v>1399.98</v>
      </c>
    </row>
    <row r="20" spans="1:1" ht="15" thickBot="1">
      <c r="A20" s="12">
        <v>3599.96</v>
      </c>
    </row>
    <row r="21" spans="1:1" ht="15" thickBot="1">
      <c r="A21" s="12">
        <v>749.97</v>
      </c>
    </row>
    <row r="22" spans="1:1" ht="15" thickBot="1">
      <c r="A22" s="12">
        <v>3499.95</v>
      </c>
    </row>
    <row r="23" spans="1:1" ht="15" thickBot="1">
      <c r="A23" s="12">
        <v>2799.96</v>
      </c>
    </row>
    <row r="24" spans="1:1" ht="15" thickBot="1">
      <c r="A24" s="12">
        <v>999.96</v>
      </c>
    </row>
    <row r="25" spans="1:1" ht="15" thickBot="1">
      <c r="A25" s="12">
        <v>1199.96</v>
      </c>
    </row>
    <row r="26" spans="1:1" ht="15" thickBot="1">
      <c r="A26" s="12">
        <v>1249.95</v>
      </c>
    </row>
    <row r="27" spans="1:1" ht="15" thickBot="1">
      <c r="A27" s="12">
        <v>1499.95</v>
      </c>
    </row>
    <row r="28" spans="1:1" ht="15" thickBot="1">
      <c r="A28" s="12">
        <v>239.97</v>
      </c>
    </row>
    <row r="29" spans="1:1" ht="15" thickBot="1">
      <c r="A29" s="12">
        <v>449.95</v>
      </c>
    </row>
    <row r="30" spans="1:1" ht="15" thickBot="1">
      <c r="A30" s="12">
        <v>119.98</v>
      </c>
    </row>
    <row r="31" spans="1:1" ht="15" thickBot="1">
      <c r="A31" s="12">
        <v>239.96</v>
      </c>
    </row>
    <row r="32" spans="1:1" ht="15" thickBot="1">
      <c r="A32" s="12">
        <v>999.95</v>
      </c>
    </row>
    <row r="33" spans="1:1" ht="15" thickBot="1">
      <c r="A33" s="12">
        <v>299.98</v>
      </c>
    </row>
    <row r="34" spans="1:1" ht="15" thickBot="1">
      <c r="A34" s="12">
        <v>449.97</v>
      </c>
    </row>
    <row r="35" spans="1:1" ht="15" thickBot="1">
      <c r="A35" s="12">
        <v>899.99</v>
      </c>
    </row>
    <row r="36" spans="1:1" ht="15" thickBot="1">
      <c r="A36" s="12">
        <v>899.97</v>
      </c>
    </row>
    <row r="37" spans="1:1" ht="15" thickBot="1">
      <c r="A37" s="12">
        <v>239.97</v>
      </c>
    </row>
    <row r="38" spans="1:1" ht="15" thickBot="1">
      <c r="A38" s="12">
        <v>599.97</v>
      </c>
    </row>
    <row r="39" spans="1:1" ht="15" thickBot="1">
      <c r="A39" s="12">
        <v>3499.95</v>
      </c>
    </row>
    <row r="40" spans="1:1" ht="15" thickBot="1">
      <c r="A40" s="12">
        <v>269.97000000000003</v>
      </c>
    </row>
    <row r="41" spans="1:1" ht="15" thickBot="1">
      <c r="A41" s="12">
        <v>79.989999999999995</v>
      </c>
    </row>
    <row r="42" spans="1:1" ht="15" thickBot="1">
      <c r="A42" s="12">
        <v>119.98</v>
      </c>
    </row>
    <row r="43" spans="1:1" ht="15" thickBot="1">
      <c r="A43" s="12">
        <v>89.99</v>
      </c>
    </row>
    <row r="44" spans="1:1" ht="15" thickBot="1">
      <c r="A44" s="12">
        <v>449.95</v>
      </c>
    </row>
    <row r="45" spans="1:1" ht="15" thickBot="1">
      <c r="A45" s="12">
        <v>1249.95</v>
      </c>
    </row>
    <row r="46" spans="1:1" ht="15" thickBot="1">
      <c r="A46" s="12">
        <v>89.99</v>
      </c>
    </row>
    <row r="47" spans="1:1" ht="15" thickBot="1">
      <c r="A47" s="12">
        <v>299.98</v>
      </c>
    </row>
    <row r="48" spans="1:1" ht="15" thickBot="1">
      <c r="A48" s="12">
        <v>239.96</v>
      </c>
    </row>
    <row r="49" spans="1:1" ht="15" thickBot="1">
      <c r="A49" s="12">
        <v>449.95</v>
      </c>
    </row>
    <row r="50" spans="1:1" ht="15" thickBot="1">
      <c r="A50" s="12">
        <v>179.98</v>
      </c>
    </row>
    <row r="51" spans="1:1" ht="15" thickBot="1">
      <c r="A51" s="12">
        <v>4499.95</v>
      </c>
    </row>
    <row r="52" spans="1:1" ht="15" thickBot="1">
      <c r="A52" s="12">
        <v>4499.95</v>
      </c>
    </row>
    <row r="53" spans="1:1" ht="15" thickBot="1">
      <c r="A53" s="12">
        <v>59.99</v>
      </c>
    </row>
    <row r="54" spans="1:1" ht="15" thickBot="1">
      <c r="A54" s="12">
        <v>599.98</v>
      </c>
    </row>
    <row r="55" spans="1:1" ht="15" thickBot="1">
      <c r="A55" s="12">
        <v>359.96</v>
      </c>
    </row>
    <row r="56" spans="1:1" ht="15" thickBot="1">
      <c r="A56" s="12">
        <v>79.989999999999995</v>
      </c>
    </row>
    <row r="57" spans="1:1" ht="15" thickBot="1">
      <c r="A57" s="12">
        <v>179.98</v>
      </c>
    </row>
    <row r="58" spans="1:1" ht="15" thickBot="1">
      <c r="A58" s="12">
        <v>2099.9699999999998</v>
      </c>
    </row>
    <row r="59" spans="1:1" ht="15" thickBot="1">
      <c r="A59" s="12">
        <v>3599.96</v>
      </c>
    </row>
    <row r="60" spans="1:1" ht="15" thickBot="1">
      <c r="A60" s="12">
        <v>149.99</v>
      </c>
    </row>
    <row r="61" spans="1:1" ht="15" thickBot="1">
      <c r="A61" s="12">
        <v>179.98</v>
      </c>
    </row>
    <row r="62" spans="1:1" ht="15" thickBot="1">
      <c r="A62" s="12">
        <v>89.99</v>
      </c>
    </row>
    <row r="63" spans="1:1" ht="15" thickBot="1">
      <c r="A63" s="12">
        <v>89.99</v>
      </c>
    </row>
    <row r="64" spans="1:1" ht="15" thickBot="1">
      <c r="A64" s="12">
        <v>399.95</v>
      </c>
    </row>
    <row r="65" spans="1:1" ht="15" thickBot="1">
      <c r="A65" s="12">
        <v>149.99</v>
      </c>
    </row>
    <row r="66" spans="1:1" ht="15" thickBot="1">
      <c r="A66" s="12">
        <v>1399.98</v>
      </c>
    </row>
    <row r="67" spans="1:1" ht="15" thickBot="1">
      <c r="A67" s="12">
        <v>449.95</v>
      </c>
    </row>
    <row r="68" spans="1:1" ht="15" thickBot="1">
      <c r="A68" s="12">
        <v>239.96</v>
      </c>
    </row>
    <row r="69" spans="1:1" ht="15" thickBot="1">
      <c r="A69" s="12">
        <v>149.99</v>
      </c>
    </row>
    <row r="70" spans="1:1" ht="15" thickBot="1">
      <c r="A70" s="12">
        <v>299.99</v>
      </c>
    </row>
    <row r="71" spans="1:1" ht="15" thickBot="1">
      <c r="A71" s="12">
        <v>399.98</v>
      </c>
    </row>
    <row r="72" spans="1:1" ht="15" thickBot="1">
      <c r="A72" s="12">
        <v>179.97</v>
      </c>
    </row>
    <row r="73" spans="1:1" ht="15" thickBot="1">
      <c r="A73" s="12">
        <v>449.97</v>
      </c>
    </row>
    <row r="74" spans="1:1" ht="15" thickBot="1">
      <c r="A74" s="12">
        <v>599.97</v>
      </c>
    </row>
    <row r="75" spans="1:1" ht="15" thickBot="1">
      <c r="A75" s="12">
        <v>899.99</v>
      </c>
    </row>
    <row r="76" spans="1:1" ht="15" thickBot="1">
      <c r="A76" s="12">
        <v>4499.95</v>
      </c>
    </row>
    <row r="77" spans="1:1" ht="15" thickBot="1">
      <c r="A77" s="12">
        <v>119.98</v>
      </c>
    </row>
    <row r="78" spans="1:1" ht="15" thickBot="1">
      <c r="A78" s="12">
        <v>999.96</v>
      </c>
    </row>
    <row r="79" spans="1:1" ht="15" thickBot="1">
      <c r="A79" s="12">
        <v>499.98</v>
      </c>
    </row>
    <row r="80" spans="1:1" ht="15" thickBot="1">
      <c r="A80" s="12">
        <v>299.99</v>
      </c>
    </row>
    <row r="81" spans="1:1" ht="15" thickBot="1">
      <c r="A81" s="12">
        <v>179.98</v>
      </c>
    </row>
    <row r="82" spans="1:1" ht="15" thickBot="1">
      <c r="A82" s="12">
        <v>899.97</v>
      </c>
    </row>
    <row r="83" spans="1:1" ht="15" thickBot="1">
      <c r="A83" s="12">
        <v>1399.98</v>
      </c>
    </row>
    <row r="84" spans="1:1" ht="15" thickBot="1">
      <c r="A84" s="12">
        <v>3599.96</v>
      </c>
    </row>
    <row r="85" spans="1:1" ht="15" thickBot="1">
      <c r="A85" s="12">
        <v>299.98</v>
      </c>
    </row>
    <row r="86" spans="1:1" ht="15" thickBot="1">
      <c r="A86" s="12">
        <v>299.98</v>
      </c>
    </row>
    <row r="87" spans="1:1" ht="15" thickBot="1">
      <c r="A87" s="12">
        <v>89.99</v>
      </c>
    </row>
    <row r="88" spans="1:1" ht="15" thickBot="1">
      <c r="A88" s="12">
        <v>1499.95</v>
      </c>
    </row>
    <row r="89" spans="1:1" ht="15" thickBot="1">
      <c r="A89" s="12">
        <v>599.96</v>
      </c>
    </row>
    <row r="90" spans="1:1" ht="15" thickBot="1">
      <c r="A90" s="12">
        <v>1249.95</v>
      </c>
    </row>
    <row r="91" spans="1:1" ht="15" thickBot="1">
      <c r="A91" s="12">
        <v>749.97</v>
      </c>
    </row>
    <row r="92" spans="1:1" ht="15" thickBot="1">
      <c r="A92" s="12">
        <v>799.96</v>
      </c>
    </row>
    <row r="93" spans="1:1" ht="15" thickBot="1">
      <c r="A93" s="12">
        <v>999.95</v>
      </c>
    </row>
    <row r="94" spans="1:1" ht="15" thickBot="1">
      <c r="A94" s="12">
        <v>179.98</v>
      </c>
    </row>
    <row r="95" spans="1:1" ht="15" thickBot="1">
      <c r="A95" s="12">
        <v>4499.95</v>
      </c>
    </row>
    <row r="96" spans="1:1" ht="15" thickBot="1">
      <c r="A96" s="12">
        <v>449.97</v>
      </c>
    </row>
    <row r="97" spans="1:1" ht="15" thickBot="1">
      <c r="A97" s="12">
        <v>749.95</v>
      </c>
    </row>
    <row r="98" spans="1:1" ht="15" thickBot="1">
      <c r="A98" s="12">
        <v>239.97</v>
      </c>
    </row>
    <row r="99" spans="1:1" ht="15" thickBot="1">
      <c r="A99" s="12">
        <v>499.98</v>
      </c>
    </row>
    <row r="100" spans="1:1" ht="15" thickBot="1">
      <c r="A100" s="12">
        <v>699.99</v>
      </c>
    </row>
    <row r="101" spans="1:1" ht="15" thickBot="1">
      <c r="A101" s="12">
        <v>449.97</v>
      </c>
    </row>
    <row r="102" spans="1:1" ht="15" thickBot="1">
      <c r="A102" s="12">
        <v>1399.98</v>
      </c>
    </row>
    <row r="103" spans="1:1" ht="15" thickBot="1">
      <c r="A103" s="12">
        <v>249.99</v>
      </c>
    </row>
    <row r="104" spans="1:1" ht="15" thickBot="1">
      <c r="A104" s="12">
        <v>249.99</v>
      </c>
    </row>
    <row r="105" spans="1:1" ht="15" thickBot="1">
      <c r="A105" s="12">
        <v>1399.98</v>
      </c>
    </row>
    <row r="106" spans="1:1" ht="15" thickBot="1">
      <c r="A106" s="12">
        <v>179.97</v>
      </c>
    </row>
    <row r="107" spans="1:1" ht="15" thickBot="1">
      <c r="A107" s="12">
        <v>179.97</v>
      </c>
    </row>
    <row r="108" spans="1:1" ht="15" thickBot="1">
      <c r="A108" s="12">
        <v>319.95999999999998</v>
      </c>
    </row>
    <row r="109" spans="1:1" ht="15" thickBot="1">
      <c r="A109" s="12">
        <v>79.989999999999995</v>
      </c>
    </row>
    <row r="110" spans="1:1" ht="15" thickBot="1">
      <c r="A110" s="12">
        <v>899.97</v>
      </c>
    </row>
    <row r="111" spans="1:1" ht="15" thickBot="1">
      <c r="A111" s="12">
        <v>179.98</v>
      </c>
    </row>
    <row r="112" spans="1:1" ht="15" thickBot="1">
      <c r="A112" s="12">
        <v>599.96</v>
      </c>
    </row>
    <row r="113" spans="1:1" ht="15" thickBot="1">
      <c r="A113" s="12">
        <v>499.98</v>
      </c>
    </row>
    <row r="114" spans="1:1" ht="15" thickBot="1">
      <c r="A114" s="12">
        <v>799.96</v>
      </c>
    </row>
    <row r="115" spans="1:1" ht="15" thickBot="1">
      <c r="A115" s="12">
        <v>449.95</v>
      </c>
    </row>
    <row r="116" spans="1:1" ht="15" thickBot="1">
      <c r="A116" s="12">
        <v>149.99</v>
      </c>
    </row>
    <row r="117" spans="1:1" ht="15" thickBot="1">
      <c r="A117" s="12">
        <v>2799.96</v>
      </c>
    </row>
    <row r="118" spans="1:1" ht="15" thickBot="1">
      <c r="A118" s="12">
        <v>2699.97</v>
      </c>
    </row>
    <row r="119" spans="1:1" ht="15" thickBot="1">
      <c r="A119" s="12">
        <v>449.97</v>
      </c>
    </row>
    <row r="120" spans="1:1" ht="15" thickBot="1">
      <c r="A120" s="12">
        <v>599.98</v>
      </c>
    </row>
    <row r="121" spans="1:1" ht="15" thickBot="1">
      <c r="A121" s="12">
        <v>199.99</v>
      </c>
    </row>
    <row r="122" spans="1:1" ht="15" thickBot="1">
      <c r="A122" s="12">
        <v>1199.96</v>
      </c>
    </row>
    <row r="123" spans="1:1" ht="15" thickBot="1">
      <c r="A123" s="12">
        <v>119.98</v>
      </c>
    </row>
    <row r="124" spans="1:1" ht="15" thickBot="1">
      <c r="A124" s="12">
        <v>599.96</v>
      </c>
    </row>
    <row r="125" spans="1:1" ht="15" thickBot="1">
      <c r="A125" s="12">
        <v>1399.98</v>
      </c>
    </row>
    <row r="126" spans="1:1" ht="15" thickBot="1">
      <c r="A126" s="12">
        <v>449.97</v>
      </c>
    </row>
    <row r="127" spans="1:1" ht="15" thickBot="1">
      <c r="A127" s="12">
        <v>899.97</v>
      </c>
    </row>
    <row r="128" spans="1:1" ht="15" thickBot="1">
      <c r="A128" s="12">
        <v>2699.97</v>
      </c>
    </row>
    <row r="129" spans="1:1" ht="15" thickBot="1">
      <c r="A129" s="12">
        <v>3499.95</v>
      </c>
    </row>
    <row r="130" spans="1:1" ht="15" thickBot="1">
      <c r="A130" s="12">
        <v>2799.96</v>
      </c>
    </row>
    <row r="131" spans="1:1" ht="15" thickBot="1">
      <c r="A131" s="12">
        <v>899.99</v>
      </c>
    </row>
    <row r="132" spans="1:1" ht="15" thickBot="1">
      <c r="A132" s="12">
        <v>299.98</v>
      </c>
    </row>
    <row r="133" spans="1:1" ht="15" thickBot="1">
      <c r="A133" s="12">
        <v>269.97000000000003</v>
      </c>
    </row>
    <row r="134" spans="1:1" ht="15" thickBot="1">
      <c r="A134" s="12">
        <v>299.98</v>
      </c>
    </row>
    <row r="135" spans="1:1" ht="15" thickBot="1">
      <c r="A135" s="12">
        <v>1399.98</v>
      </c>
    </row>
    <row r="136" spans="1:1" ht="15" thickBot="1">
      <c r="A136" s="12">
        <v>3499.95</v>
      </c>
    </row>
    <row r="137" spans="1:1" ht="15" thickBot="1">
      <c r="A137" s="12">
        <v>269.97000000000003</v>
      </c>
    </row>
    <row r="138" spans="1:1" ht="15" thickBot="1">
      <c r="A138" s="12">
        <v>1249.95</v>
      </c>
    </row>
    <row r="139" spans="1:1" ht="15" thickBot="1">
      <c r="A139" s="12">
        <v>899.97</v>
      </c>
    </row>
    <row r="140" spans="1:1" ht="15" thickBot="1">
      <c r="A140" s="12">
        <v>269.97000000000003</v>
      </c>
    </row>
    <row r="141" spans="1:1" ht="15" thickBot="1">
      <c r="A141" s="12">
        <v>299.98</v>
      </c>
    </row>
    <row r="142" spans="1:1" ht="15" thickBot="1">
      <c r="A142" s="12">
        <v>249.99</v>
      </c>
    </row>
    <row r="143" spans="1:1" ht="15" thickBot="1">
      <c r="A143" s="12">
        <v>449.97</v>
      </c>
    </row>
    <row r="144" spans="1:1" ht="15" thickBot="1">
      <c r="A144" s="12">
        <v>299.95</v>
      </c>
    </row>
    <row r="145" spans="1:1" ht="15" thickBot="1">
      <c r="A145" s="12">
        <v>999.96</v>
      </c>
    </row>
    <row r="146" spans="1:1" ht="15" thickBot="1">
      <c r="A146" s="12">
        <v>749.95</v>
      </c>
    </row>
    <row r="147" spans="1:1" ht="15" thickBot="1">
      <c r="A147" s="12">
        <v>179.97</v>
      </c>
    </row>
    <row r="148" spans="1:1" ht="15" thickBot="1">
      <c r="A148" s="12">
        <v>749.95</v>
      </c>
    </row>
    <row r="149" spans="1:1" ht="15" thickBot="1">
      <c r="A149" s="12">
        <v>1399.98</v>
      </c>
    </row>
    <row r="150" spans="1:1" ht="15" thickBot="1">
      <c r="A150" s="12">
        <v>799.96</v>
      </c>
    </row>
    <row r="151" spans="1:1" ht="15" thickBot="1">
      <c r="A151" s="12">
        <v>59.99</v>
      </c>
    </row>
    <row r="152" spans="1:1" ht="15" thickBot="1">
      <c r="A152" s="12">
        <v>2099.9699999999998</v>
      </c>
    </row>
    <row r="153" spans="1:1" ht="15" thickBot="1">
      <c r="A153" s="12">
        <v>1249.95</v>
      </c>
    </row>
    <row r="154" spans="1:1" ht="15" thickBot="1">
      <c r="A154" s="12">
        <v>299.98</v>
      </c>
    </row>
    <row r="155" spans="1:1" ht="15" thickBot="1">
      <c r="A155" s="12">
        <v>899.97</v>
      </c>
    </row>
    <row r="156" spans="1:1" ht="15" thickBot="1">
      <c r="A156" s="12">
        <v>1249.95</v>
      </c>
    </row>
    <row r="157" spans="1:1" ht="15" thickBot="1">
      <c r="A157" s="12">
        <v>299.98</v>
      </c>
    </row>
    <row r="158" spans="1:1" ht="15" thickBot="1">
      <c r="A158" s="12">
        <v>3499.95</v>
      </c>
    </row>
    <row r="159" spans="1:1" ht="15" thickBot="1">
      <c r="A159" s="12">
        <v>999.96</v>
      </c>
    </row>
    <row r="160" spans="1:1" ht="15" thickBot="1">
      <c r="A160" s="12">
        <v>2799.96</v>
      </c>
    </row>
    <row r="161" spans="1:1" ht="15" thickBot="1">
      <c r="A161" s="12">
        <v>499.98</v>
      </c>
    </row>
    <row r="162" spans="1:1" ht="15" thickBot="1">
      <c r="A162" s="12">
        <v>179.97</v>
      </c>
    </row>
    <row r="163" spans="1:1" ht="15" thickBot="1">
      <c r="A163" s="12">
        <v>319.95999999999998</v>
      </c>
    </row>
    <row r="164" spans="1:1" ht="15" thickBot="1">
      <c r="A164" s="12">
        <v>239.97</v>
      </c>
    </row>
    <row r="165" spans="1:1" ht="15" thickBot="1">
      <c r="A165" s="12">
        <v>1799.98</v>
      </c>
    </row>
    <row r="166" spans="1:1" ht="15" thickBot="1">
      <c r="A166" s="12">
        <v>149.99</v>
      </c>
    </row>
    <row r="167" spans="1:1" ht="15" thickBot="1">
      <c r="A167" s="12">
        <v>599.98</v>
      </c>
    </row>
    <row r="168" spans="1:1" ht="15" thickBot="1">
      <c r="A168" s="12">
        <v>119.98</v>
      </c>
    </row>
    <row r="169" spans="1:1" ht="15" thickBot="1">
      <c r="A169" s="12">
        <v>89.99</v>
      </c>
    </row>
    <row r="170" spans="1:1" ht="15" thickBot="1">
      <c r="A170" s="12">
        <v>4499.95</v>
      </c>
    </row>
    <row r="171" spans="1:1" ht="15" thickBot="1">
      <c r="A171" s="12">
        <v>299.98</v>
      </c>
    </row>
    <row r="172" spans="1:1" ht="15" thickBot="1">
      <c r="A172" s="12">
        <v>299.98</v>
      </c>
    </row>
    <row r="173" spans="1:1" ht="15" thickBot="1">
      <c r="A173" s="12">
        <v>449.97</v>
      </c>
    </row>
    <row r="174" spans="1:1" ht="15" thickBot="1">
      <c r="A174" s="12">
        <v>599.98</v>
      </c>
    </row>
    <row r="175" spans="1:1" ht="15" thickBot="1">
      <c r="A175" s="12">
        <v>599.98</v>
      </c>
    </row>
    <row r="176" spans="1:1" ht="15" thickBot="1">
      <c r="A176" s="12">
        <v>799.96</v>
      </c>
    </row>
    <row r="177" spans="1:1" ht="15" thickBot="1">
      <c r="A177" s="12">
        <v>89.99</v>
      </c>
    </row>
    <row r="178" spans="1:1" ht="15" thickBot="1">
      <c r="A178" s="12">
        <v>749.95</v>
      </c>
    </row>
    <row r="179" spans="1:1" ht="15" thickBot="1">
      <c r="A179" s="12">
        <v>899.99</v>
      </c>
    </row>
    <row r="180" spans="1:1" ht="15" thickBot="1">
      <c r="A180" s="12">
        <v>179.98</v>
      </c>
    </row>
    <row r="181" spans="1:1" ht="15" thickBot="1">
      <c r="A181" s="12">
        <v>899.99</v>
      </c>
    </row>
    <row r="182" spans="1:1" ht="15" thickBot="1">
      <c r="A182" s="12">
        <v>749.95</v>
      </c>
    </row>
    <row r="183" spans="1:1" ht="15" thickBot="1">
      <c r="A183" s="12">
        <v>899.97</v>
      </c>
    </row>
    <row r="184" spans="1:1" ht="15" thickBot="1">
      <c r="A184" s="12">
        <v>2099.9699999999998</v>
      </c>
    </row>
    <row r="185" spans="1:1" ht="15" thickBot="1">
      <c r="A185" s="12">
        <v>999.95</v>
      </c>
    </row>
    <row r="186" spans="1:1" ht="15" thickBot="1">
      <c r="A186" s="12">
        <v>1249.95</v>
      </c>
    </row>
    <row r="187" spans="1:1" ht="15" thickBot="1">
      <c r="A187" s="12">
        <v>599.96</v>
      </c>
    </row>
    <row r="188" spans="1:1" ht="15" thickBot="1">
      <c r="A188" s="12">
        <v>2099.9699999999998</v>
      </c>
    </row>
    <row r="189" spans="1:1" ht="15" thickBot="1">
      <c r="A189" s="12">
        <v>79.989999999999995</v>
      </c>
    </row>
    <row r="190" spans="1:1" ht="15" thickBot="1">
      <c r="A190" s="12">
        <v>299.99</v>
      </c>
    </row>
    <row r="191" spans="1:1" ht="15" thickBot="1">
      <c r="A191" s="12">
        <v>999.96</v>
      </c>
    </row>
    <row r="192" spans="1:1" ht="15" thickBot="1">
      <c r="A192" s="12">
        <v>299.98</v>
      </c>
    </row>
    <row r="193" spans="1:1" ht="15" thickBot="1">
      <c r="A193" s="12">
        <v>899.97</v>
      </c>
    </row>
    <row r="194" spans="1:1" ht="15" thickBot="1">
      <c r="A194" s="12">
        <v>799.96</v>
      </c>
    </row>
    <row r="195" spans="1:1" ht="15" thickBot="1">
      <c r="A195" s="12">
        <v>1499.95</v>
      </c>
    </row>
    <row r="196" spans="1:1" ht="15" thickBot="1">
      <c r="A196" s="12">
        <v>449.97</v>
      </c>
    </row>
    <row r="197" spans="1:1" ht="15" thickBot="1">
      <c r="A197" s="12">
        <v>299.95</v>
      </c>
    </row>
    <row r="198" spans="1:1" ht="15" thickBot="1">
      <c r="A198" s="12">
        <v>239.96</v>
      </c>
    </row>
    <row r="199" spans="1:1" ht="15" thickBot="1">
      <c r="A199" s="12">
        <v>999.96</v>
      </c>
    </row>
    <row r="200" spans="1:1" ht="15" thickBot="1">
      <c r="A200" s="12">
        <v>3599.96</v>
      </c>
    </row>
    <row r="201" spans="1:1" ht="15" thickBot="1">
      <c r="A201" s="12">
        <v>899.97</v>
      </c>
    </row>
    <row r="202" spans="1:1" ht="15" thickBot="1">
      <c r="A202" s="12">
        <v>1399.98</v>
      </c>
    </row>
    <row r="203" spans="1:1" ht="15" thickBot="1">
      <c r="A203" s="12">
        <v>2799.96</v>
      </c>
    </row>
    <row r="204" spans="1:1" ht="15" thickBot="1">
      <c r="A204" s="12">
        <v>179.98</v>
      </c>
    </row>
    <row r="205" spans="1:1" ht="15" thickBot="1">
      <c r="A205" s="12">
        <v>269.97000000000003</v>
      </c>
    </row>
    <row r="206" spans="1:1" ht="15" thickBot="1">
      <c r="A206" s="12">
        <v>59.99</v>
      </c>
    </row>
    <row r="207" spans="1:1" ht="15" thickBot="1">
      <c r="A207" s="12">
        <v>449.97</v>
      </c>
    </row>
    <row r="208" spans="1:1" ht="15" thickBot="1">
      <c r="A208" s="12">
        <v>1499.95</v>
      </c>
    </row>
    <row r="209" spans="1:1" ht="15" thickBot="1">
      <c r="A209" s="12">
        <v>299.95</v>
      </c>
    </row>
    <row r="210" spans="1:1" ht="15" thickBot="1">
      <c r="A210" s="12">
        <v>239.97</v>
      </c>
    </row>
    <row r="211" spans="1:1" ht="15" thickBot="1">
      <c r="A211" s="12">
        <v>599.97</v>
      </c>
    </row>
    <row r="212" spans="1:1" ht="15" thickBot="1">
      <c r="A212" s="12">
        <v>179.98</v>
      </c>
    </row>
    <row r="213" spans="1:1" ht="15" thickBot="1">
      <c r="A213" s="12">
        <v>299.98</v>
      </c>
    </row>
    <row r="214" spans="1:1" ht="15" thickBot="1">
      <c r="A214" s="12">
        <v>3499.95</v>
      </c>
    </row>
    <row r="215" spans="1:1" ht="15" thickBot="1">
      <c r="A215" s="12">
        <v>449.97</v>
      </c>
    </row>
    <row r="216" spans="1:1" ht="15" thickBot="1">
      <c r="A216" s="12">
        <v>2699.97</v>
      </c>
    </row>
    <row r="217" spans="1:1" ht="15" thickBot="1">
      <c r="A217" s="12">
        <v>599.97</v>
      </c>
    </row>
    <row r="218" spans="1:1" ht="15" thickBot="1">
      <c r="A218" s="12">
        <v>1499.95</v>
      </c>
    </row>
    <row r="219" spans="1:1" ht="15" thickBot="1">
      <c r="A219" s="12">
        <v>699.99</v>
      </c>
    </row>
    <row r="220" spans="1:1" ht="15" thickBot="1">
      <c r="A220" s="12">
        <v>699.99</v>
      </c>
    </row>
    <row r="221" spans="1:1" ht="15" thickBot="1">
      <c r="A221" s="12">
        <v>599.96</v>
      </c>
    </row>
    <row r="222" spans="1:1" ht="15" thickBot="1">
      <c r="A222" s="12">
        <v>449.95</v>
      </c>
    </row>
    <row r="223" spans="1:1" ht="15" thickBot="1">
      <c r="A223" s="12">
        <v>399.98</v>
      </c>
    </row>
    <row r="224" spans="1:1" ht="15" thickBot="1">
      <c r="A224" s="12">
        <v>239.96</v>
      </c>
    </row>
    <row r="225" spans="1:1" ht="15" thickBot="1">
      <c r="A225" s="12">
        <v>599.98</v>
      </c>
    </row>
    <row r="226" spans="1:1" ht="15" thickBot="1">
      <c r="A226" s="12">
        <v>299.98</v>
      </c>
    </row>
    <row r="227" spans="1:1" ht="15" thickBot="1">
      <c r="A227" s="12">
        <v>3499.95</v>
      </c>
    </row>
    <row r="228" spans="1:1" ht="15" thickBot="1">
      <c r="A228" s="12">
        <v>299.95</v>
      </c>
    </row>
    <row r="229" spans="1:1" ht="15" thickBot="1">
      <c r="A229" s="12">
        <v>179.98</v>
      </c>
    </row>
    <row r="230" spans="1:1" ht="15" thickBot="1">
      <c r="A230" s="12">
        <v>1249.95</v>
      </c>
    </row>
    <row r="231" spans="1:1" ht="15" thickBot="1">
      <c r="A231" s="12">
        <v>299.98</v>
      </c>
    </row>
    <row r="232" spans="1:1" ht="15" thickBot="1">
      <c r="A232" s="12">
        <v>4499.95</v>
      </c>
    </row>
    <row r="233" spans="1:1" ht="15" thickBot="1">
      <c r="A233" s="12">
        <v>599.96</v>
      </c>
    </row>
    <row r="234" spans="1:1" ht="15" thickBot="1">
      <c r="A234" s="12">
        <v>249.99</v>
      </c>
    </row>
    <row r="235" spans="1:1" ht="15" thickBot="1">
      <c r="A235" s="12">
        <v>119.98</v>
      </c>
    </row>
    <row r="236" spans="1:1" ht="15" thickBot="1">
      <c r="A236" s="12">
        <v>299.98</v>
      </c>
    </row>
    <row r="237" spans="1:1" ht="15" thickBot="1">
      <c r="A237" s="12">
        <v>2699.97</v>
      </c>
    </row>
    <row r="238" spans="1:1" ht="15" thickBot="1">
      <c r="A238" s="12">
        <v>2699.97</v>
      </c>
    </row>
    <row r="239" spans="1:1" ht="15" thickBot="1">
      <c r="A239" s="12">
        <v>899.97</v>
      </c>
    </row>
    <row r="240" spans="1:1" ht="15" thickBot="1">
      <c r="A240" s="12">
        <v>599.96</v>
      </c>
    </row>
    <row r="241" spans="1:1" ht="15" thickBot="1">
      <c r="A241" s="12">
        <v>319.95999999999998</v>
      </c>
    </row>
    <row r="242" spans="1:1" ht="15" thickBot="1">
      <c r="A242" s="12">
        <v>449.95</v>
      </c>
    </row>
    <row r="243" spans="1:1" ht="15" thickBot="1">
      <c r="A243" s="12">
        <v>449.97</v>
      </c>
    </row>
    <row r="244" spans="1:1" ht="15" thickBot="1">
      <c r="A244" s="12">
        <v>179.98</v>
      </c>
    </row>
    <row r="245" spans="1:1" ht="15" thickBot="1">
      <c r="A245" s="12">
        <v>1399.98</v>
      </c>
    </row>
    <row r="246" spans="1:1" ht="15" thickBot="1">
      <c r="A246" s="12">
        <v>2699.97</v>
      </c>
    </row>
    <row r="247" spans="1:1" ht="15" thickBot="1">
      <c r="A247" s="12">
        <v>239.97</v>
      </c>
    </row>
    <row r="248" spans="1:1" ht="15" thickBot="1">
      <c r="A248" s="12">
        <v>89.99</v>
      </c>
    </row>
    <row r="249" spans="1:1" ht="15" thickBot="1">
      <c r="A249" s="12">
        <v>2099.9699999999998</v>
      </c>
    </row>
    <row r="250" spans="1:1" ht="15" thickBot="1">
      <c r="A250" s="12">
        <v>179.98</v>
      </c>
    </row>
    <row r="251" spans="1:1" ht="14.4">
      <c r="A251" s="13">
        <v>269.97000000000003</v>
      </c>
    </row>
  </sheetData>
  <conditionalFormatting sqref="A1:A1048576">
    <cfRule type="colorScale" priority="1">
      <colorScale>
        <cfvo type="min"/>
        <cfvo type="percentile" val="50"/>
        <cfvo type="max"/>
        <color rgb="FF63BE7B"/>
        <color rgb="FFFCFCFF"/>
        <color rgb="FFF8696B"/>
      </colorScale>
    </cfRule>
  </conditionalFormatting>
  <conditionalFormatting sqref="A2:A251">
    <cfRule type="cellIs" dxfId="48" priority="2" operator="greaterThan">
      <formula>3000</formula>
    </cfRule>
    <cfRule type="cellIs" dxfId="47" priority="3" operator="greaterThan">
      <formula>5000</formula>
    </cfRule>
    <cfRule type="iconSet" priority="4">
      <iconSet iconSet="3Arrows">
        <cfvo type="percent" val="0"/>
        <cfvo type="percent" val="33"/>
        <cfvo type="percent" val="67"/>
      </iconSet>
    </cfRule>
    <cfRule type="dataBar" priority="5">
      <dataBar>
        <cfvo type="min"/>
        <cfvo type="max"/>
        <color rgb="FF63C384"/>
      </dataBar>
      <extLst>
        <ext xmlns:x14="http://schemas.microsoft.com/office/spreadsheetml/2009/9/main" uri="{B025F937-C7B1-47D3-B67F-A62EFF666E3E}">
          <x14:id>{318ECBE2-8490-4CD0-B525-8C5723E81B65}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18ECBE2-8490-4CD0-B525-8C5723E81B65}">
            <x14:dataBar minLength="0" maxLength="100" gradient="0">
              <x14:cfvo type="autoMin"/>
              <x14:cfvo type="autoMax"/>
              <x14:negativeFillColor rgb="FFFF0000"/>
              <x14:axisColor rgb="FF000000"/>
            </x14:dataBar>
          </x14:cfRule>
          <xm:sqref>A2:A251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9967-FB57-416E-A837-51067C02092F}">
  <dimension ref="A1:A2"/>
  <sheetViews>
    <sheetView workbookViewId="0"/>
  </sheetViews>
  <sheetFormatPr defaultRowHeight="13.8"/>
  <cols>
    <col min="1" max="1" width="14" customWidth="1"/>
  </cols>
  <sheetData>
    <row r="1" spans="1:1">
      <c r="A1" s="68" t="s">
        <v>460</v>
      </c>
    </row>
    <row r="2" spans="1:1">
      <c r="A2" s="67">
        <f ca="1">IF(A2="","",IF(O2="",NOW(),O2))</f>
        <v>46324.384512731478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C095-ACDB-412A-A9E4-BBEADB70BA09}">
  <dimension ref="A1:E9"/>
  <sheetViews>
    <sheetView workbookViewId="0">
      <selection activeCell="D14" sqref="D14"/>
    </sheetView>
  </sheetViews>
  <sheetFormatPr defaultRowHeight="13.8"/>
  <cols>
    <col min="1" max="1" width="33.296875" customWidth="1"/>
    <col min="2" max="2" width="16.3984375" customWidth="1"/>
    <col min="4" max="4" width="19.59765625" customWidth="1"/>
    <col min="5" max="5" width="18.8984375" customWidth="1"/>
  </cols>
  <sheetData>
    <row r="1" spans="1:5">
      <c r="A1" s="72" t="s">
        <v>407</v>
      </c>
      <c r="B1" s="71" t="s">
        <v>408</v>
      </c>
      <c r="D1" s="75" t="s">
        <v>461</v>
      </c>
      <c r="E1" s="75"/>
    </row>
    <row r="2" spans="1:5">
      <c r="A2" s="73" t="s">
        <v>409</v>
      </c>
      <c r="B2" s="74">
        <v>229192.47</v>
      </c>
      <c r="D2" s="69" t="s">
        <v>462</v>
      </c>
      <c r="E2" s="70">
        <f>AVERAGE('[1]Raw Data'!H1:H250)</f>
        <v>3.0120481927710845</v>
      </c>
    </row>
    <row r="3" spans="1:5">
      <c r="A3" s="73" t="s">
        <v>410</v>
      </c>
      <c r="B3" s="73"/>
      <c r="D3" s="69" t="s">
        <v>463</v>
      </c>
      <c r="E3" s="70">
        <v>1000</v>
      </c>
    </row>
    <row r="4" spans="1:5">
      <c r="A4" s="73" t="s">
        <v>411</v>
      </c>
      <c r="B4" s="73"/>
      <c r="D4" s="69" t="s">
        <v>464</v>
      </c>
      <c r="E4" s="39">
        <f>AVERAGE('Raw Data'!I2:I251)</f>
        <v>296.67000000000007</v>
      </c>
    </row>
    <row r="5" spans="1:5">
      <c r="A5" s="73"/>
      <c r="B5" s="73"/>
      <c r="D5" s="1"/>
      <c r="E5" s="1"/>
    </row>
    <row r="6" spans="1:5">
      <c r="A6" s="73" t="s">
        <v>412</v>
      </c>
      <c r="B6" s="74">
        <v>916.77</v>
      </c>
      <c r="D6" s="75" t="s">
        <v>465</v>
      </c>
      <c r="E6" s="75"/>
    </row>
    <row r="7" spans="1:5">
      <c r="A7" s="73" t="s">
        <v>413</v>
      </c>
      <c r="B7" s="73">
        <v>272</v>
      </c>
      <c r="D7" s="37" t="s">
        <v>7</v>
      </c>
      <c r="E7" s="38">
        <v>10</v>
      </c>
    </row>
    <row r="8" spans="1:5">
      <c r="A8" s="73" t="s">
        <v>414</v>
      </c>
      <c r="B8" s="74">
        <f>B6*B7</f>
        <v>249361.44</v>
      </c>
      <c r="D8" s="37" t="s">
        <v>466</v>
      </c>
      <c r="E8" s="40">
        <v>500</v>
      </c>
    </row>
    <row r="9" spans="1:5">
      <c r="D9" s="37" t="s">
        <v>467</v>
      </c>
      <c r="E9" s="40">
        <f>E7*E8</f>
        <v>5000</v>
      </c>
    </row>
  </sheetData>
  <mergeCells count="2">
    <mergeCell ref="D1:E1"/>
    <mergeCell ref="D6:E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C034-61A3-45DA-9832-D135C5FB08B7}">
  <dimension ref="A1:I18"/>
  <sheetViews>
    <sheetView workbookViewId="0">
      <selection activeCell="G24" sqref="G24"/>
    </sheetView>
  </sheetViews>
  <sheetFormatPr defaultRowHeight="13.8"/>
  <cols>
    <col min="1" max="1" width="17.59765625" bestFit="1" customWidth="1"/>
    <col min="2" max="2" width="12.69921875" bestFit="1" customWidth="1"/>
    <col min="3" max="3" width="14.69921875" bestFit="1" customWidth="1"/>
    <col min="4" max="4" width="12.69921875" bestFit="1" customWidth="1"/>
    <col min="5" max="5" width="12" bestFit="1" customWidth="1"/>
    <col min="6" max="6" width="13.69921875" bestFit="1" customWidth="1"/>
    <col min="7" max="7" width="12" bestFit="1" customWidth="1"/>
    <col min="8" max="9" width="12.8984375" bestFit="1" customWidth="1"/>
  </cols>
  <sheetData>
    <row r="1" spans="1:9">
      <c r="A1" t="s">
        <v>415</v>
      </c>
    </row>
    <row r="2" spans="1:9" ht="14.4" thickBot="1"/>
    <row r="3" spans="1:9" ht="14.4">
      <c r="A3" s="24" t="s">
        <v>416</v>
      </c>
      <c r="B3" s="24"/>
    </row>
    <row r="4" spans="1:9">
      <c r="A4" t="s">
        <v>417</v>
      </c>
      <c r="B4">
        <v>0.45808036093237842</v>
      </c>
    </row>
    <row r="5" spans="1:9">
      <c r="A5" t="s">
        <v>418</v>
      </c>
      <c r="B5">
        <v>0.2098376170719381</v>
      </c>
    </row>
    <row r="6" spans="1:9">
      <c r="A6" t="s">
        <v>419</v>
      </c>
      <c r="B6">
        <v>0.20665147843109913</v>
      </c>
    </row>
    <row r="7" spans="1:9">
      <c r="A7" t="s">
        <v>420</v>
      </c>
      <c r="B7">
        <v>919.60715349471081</v>
      </c>
    </row>
    <row r="8" spans="1:9" ht="14.4" thickBot="1">
      <c r="A8" s="22" t="s">
        <v>421</v>
      </c>
      <c r="B8" s="22">
        <v>250</v>
      </c>
    </row>
    <row r="10" spans="1:9" ht="14.4" thickBot="1">
      <c r="A10" t="s">
        <v>422</v>
      </c>
    </row>
    <row r="11" spans="1:9" ht="14.4">
      <c r="A11" s="23"/>
      <c r="B11" s="23" t="s">
        <v>427</v>
      </c>
      <c r="C11" s="23" t="s">
        <v>428</v>
      </c>
      <c r="D11" s="23" t="s">
        <v>429</v>
      </c>
      <c r="E11" s="23" t="s">
        <v>430</v>
      </c>
      <c r="F11" s="23" t="s">
        <v>431</v>
      </c>
    </row>
    <row r="12" spans="1:9">
      <c r="A12" t="s">
        <v>423</v>
      </c>
      <c r="B12">
        <v>1</v>
      </c>
      <c r="C12">
        <v>55695916.896352619</v>
      </c>
      <c r="D12">
        <v>55695916.896352619</v>
      </c>
      <c r="E12">
        <v>65.859537429508919</v>
      </c>
      <c r="F12">
        <v>2.2586478953134677E-14</v>
      </c>
    </row>
    <row r="13" spans="1:9">
      <c r="A13" t="s">
        <v>424</v>
      </c>
      <c r="B13">
        <v>248</v>
      </c>
      <c r="C13">
        <v>209727974.55614385</v>
      </c>
      <c r="D13">
        <v>845677.31675864453</v>
      </c>
    </row>
    <row r="14" spans="1:9" ht="14.4" thickBot="1">
      <c r="A14" s="22" t="s">
        <v>425</v>
      </c>
      <c r="B14" s="22">
        <v>249</v>
      </c>
      <c r="C14" s="22">
        <v>265423891.45249647</v>
      </c>
      <c r="D14" s="22"/>
      <c r="E14" s="22"/>
      <c r="F14" s="22"/>
    </row>
    <row r="15" spans="1:9" ht="14.4" thickBot="1"/>
    <row r="16" spans="1:9" ht="14.4">
      <c r="A16" s="23"/>
      <c r="B16" s="23" t="s">
        <v>432</v>
      </c>
      <c r="C16" s="23" t="s">
        <v>420</v>
      </c>
      <c r="D16" s="23" t="s">
        <v>433</v>
      </c>
      <c r="E16" s="23" t="s">
        <v>434</v>
      </c>
      <c r="F16" s="23" t="s">
        <v>435</v>
      </c>
      <c r="G16" s="23" t="s">
        <v>436</v>
      </c>
      <c r="H16" s="23" t="s">
        <v>437</v>
      </c>
      <c r="I16" s="23" t="s">
        <v>438</v>
      </c>
    </row>
    <row r="17" spans="1:9">
      <c r="A17" t="s">
        <v>426</v>
      </c>
      <c r="B17">
        <v>-148.85464891541903</v>
      </c>
      <c r="C17">
        <v>143.61334429876464</v>
      </c>
      <c r="D17">
        <v>-1.0364959443166415</v>
      </c>
      <c r="E17">
        <v>0.30098040367911694</v>
      </c>
      <c r="F17">
        <v>-431.71199538208884</v>
      </c>
      <c r="G17">
        <v>134.00269755125078</v>
      </c>
      <c r="H17">
        <v>-431.71199538208884</v>
      </c>
      <c r="I17">
        <v>134.00269755125078</v>
      </c>
    </row>
    <row r="18" spans="1:9" ht="14.4" thickBot="1">
      <c r="A18" s="22" t="s">
        <v>7</v>
      </c>
      <c r="B18" s="22">
        <v>353.7930042879882</v>
      </c>
      <c r="C18" s="22">
        <v>43.595323340526868</v>
      </c>
      <c r="D18" s="22">
        <v>8.1153889265708674</v>
      </c>
      <c r="E18" s="22">
        <v>2.2586478953133775E-14</v>
      </c>
      <c r="F18" s="22">
        <v>267.92871682452869</v>
      </c>
      <c r="G18" s="22">
        <v>439.6572917514477</v>
      </c>
      <c r="H18" s="22">
        <v>267.92871682452869</v>
      </c>
      <c r="I18" s="22">
        <v>439.6572917514477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2F00-87B2-4FB1-B68A-69A32483FA56}">
  <dimension ref="A1:I73"/>
  <sheetViews>
    <sheetView workbookViewId="0">
      <selection activeCell="C4" sqref="C4"/>
    </sheetView>
  </sheetViews>
  <sheetFormatPr defaultColWidth="20.69921875" defaultRowHeight="24.9" customHeight="1"/>
  <cols>
    <col min="1" max="1" width="24.59765625" style="1" customWidth="1"/>
    <col min="2" max="3" width="20.69921875" style="1"/>
    <col min="4" max="4" width="26.69921875" style="1" bestFit="1" customWidth="1"/>
    <col min="5" max="6" width="20.69921875" style="1"/>
    <col min="7" max="7" width="24" style="1" customWidth="1"/>
    <col min="8" max="16384" width="20.69921875" style="1"/>
  </cols>
  <sheetData>
    <row r="1" spans="1:9" ht="24.9" customHeight="1">
      <c r="A1" s="76" t="s">
        <v>404</v>
      </c>
      <c r="B1" s="76"/>
      <c r="C1" s="76"/>
      <c r="D1" s="76"/>
      <c r="E1" s="76"/>
      <c r="F1" s="76"/>
      <c r="G1" s="76"/>
      <c r="H1" s="76"/>
      <c r="I1" s="76"/>
    </row>
    <row r="3" spans="1:9" ht="24.9" customHeight="1">
      <c r="A3" s="1" t="s">
        <v>450</v>
      </c>
      <c r="B3" s="1" t="s">
        <v>451</v>
      </c>
      <c r="D3" s="1" t="s">
        <v>445</v>
      </c>
      <c r="E3" s="1" t="s">
        <v>454</v>
      </c>
    </row>
    <row r="4" spans="1:9" ht="24.9" customHeight="1">
      <c r="A4" s="32">
        <v>45383</v>
      </c>
      <c r="B4" s="27">
        <f>SUMIFS(SalesData[Total_Amount],SalesData[Date],"&gt;="&amp;A4,SalesData[Date],"&lt;"&amp;EDATE(A4,1))</f>
        <v>20919.330000000002</v>
      </c>
      <c r="D4" s="1" t="s">
        <v>10</v>
      </c>
      <c r="E4" s="1" t="s">
        <v>405</v>
      </c>
      <c r="G4" s="25"/>
    </row>
    <row r="5" spans="1:9" ht="24.9" customHeight="1">
      <c r="A5" s="32">
        <v>45413</v>
      </c>
      <c r="B5" s="27">
        <f>SUMIFS(SalesData[Total_Amount],SalesData[Date],"&gt;="&amp;A5,SalesData[Date],"&lt;"&amp;EDATE(A5,1))</f>
        <v>17039.349999999999</v>
      </c>
      <c r="D5" s="1" t="s">
        <v>63</v>
      </c>
      <c r="E5" s="27">
        <f>SUMIF(SalesData[Region],D5,SalesData[Total_Amount])</f>
        <v>59288.389999999992</v>
      </c>
      <c r="G5" s="25"/>
    </row>
    <row r="6" spans="1:9" ht="24.9" customHeight="1">
      <c r="A6" s="32">
        <v>45444</v>
      </c>
      <c r="B6" s="27">
        <f>SUMIFS(SalesData[Total_Amount],SalesData[Date],"&gt;="&amp;A6,SalesData[Date],"&lt;"&amp;EDATE(A6,1))</f>
        <v>19299.45</v>
      </c>
      <c r="D6" s="1" t="s">
        <v>40</v>
      </c>
      <c r="E6" s="27">
        <f>SUMIF(SalesData[Region],D6,SalesData[Total_Amount])</f>
        <v>50808.310000000012</v>
      </c>
      <c r="G6" s="25"/>
    </row>
    <row r="7" spans="1:9" ht="24.9" customHeight="1">
      <c r="A7" s="32">
        <v>45474</v>
      </c>
      <c r="B7" s="27">
        <f>SUMIFS(SalesData[Total_Amount],SalesData[Date],"&gt;="&amp;A7,SalesData[Date],"&lt;"&amp;EDATE(A7,1))</f>
        <v>18479.399999999994</v>
      </c>
      <c r="D7" s="1" t="s">
        <v>50</v>
      </c>
      <c r="E7" s="27">
        <f>SUMIF(SalesData[Region],D7,SalesData[Total_Amount])</f>
        <v>41408.680000000015</v>
      </c>
      <c r="G7" s="25"/>
    </row>
    <row r="8" spans="1:9" ht="24.9" customHeight="1">
      <c r="A8" s="32">
        <v>45505</v>
      </c>
      <c r="B8" s="27">
        <f>SUMIFS(SalesData[Total_Amount],SalesData[Date],"&gt;="&amp;A8,SalesData[Date],"&lt;"&amp;EDATE(A8,1))</f>
        <v>15759.429999999997</v>
      </c>
      <c r="D8" s="1" t="s">
        <v>35</v>
      </c>
      <c r="E8" s="27">
        <f>SUMIF(SalesData[Region],D8,SalesData[Total_Amount])</f>
        <v>36398.750000000007</v>
      </c>
      <c r="G8" s="25"/>
    </row>
    <row r="9" spans="1:9" ht="24.9" customHeight="1">
      <c r="A9" s="32">
        <v>45536</v>
      </c>
      <c r="B9" s="27">
        <f>SUMIFS(SalesData[Total_Amount],SalesData[Date],"&gt;="&amp;A9,SalesData[Date],"&lt;"&amp;EDATE(A9,1))</f>
        <v>12989.509999999997</v>
      </c>
    </row>
    <row r="10" spans="1:9" ht="24.9" customHeight="1">
      <c r="A10" s="32">
        <v>45566</v>
      </c>
      <c r="B10" s="27">
        <f>SUMIFS(SalesData[Total_Amount],SalesData[Date],"&gt;="&amp;A10,SalesData[Date],"&lt;"&amp;EDATE(A10,1))</f>
        <v>20609.52</v>
      </c>
      <c r="E10" s="27"/>
    </row>
    <row r="11" spans="1:9" ht="24.9" customHeight="1">
      <c r="A11" s="32">
        <v>45597</v>
      </c>
      <c r="B11" s="27">
        <f>SUMIFS(SalesData[Total_Amount],SalesData[Date],"&gt;="&amp;A11,SalesData[Date],"&lt;"&amp;EDATE(A11,1))</f>
        <v>12309.439999999999</v>
      </c>
    </row>
    <row r="12" spans="1:9" ht="24.9" customHeight="1">
      <c r="A12" s="32">
        <v>45627</v>
      </c>
      <c r="B12" s="27">
        <f>SUMIFS(SalesData[Total_Amount],SalesData[Date],"&gt;="&amp;A12,SalesData[Date],"&lt;"&amp;EDATE(A12,1))</f>
        <v>23039.3</v>
      </c>
    </row>
    <row r="13" spans="1:9" ht="24.9" customHeight="1">
      <c r="A13" s="32">
        <v>45658</v>
      </c>
      <c r="B13" s="27">
        <f>SUMIFS(SalesData[Total_Amount],SalesData[Date],"&gt;="&amp;A13,SalesData[Date],"&lt;"&amp;EDATE(A13,1))</f>
        <v>25799.15</v>
      </c>
    </row>
    <row r="14" spans="1:9" ht="24.9" customHeight="1">
      <c r="A14" s="32">
        <v>45689</v>
      </c>
      <c r="B14" s="27">
        <f>SUMIFS(SalesData[Total_Amount],SalesData[Date],"&gt;="&amp;A14,SalesData[Date],"&lt;"&amp;EDATE(A14,1))</f>
        <v>16069.379999999997</v>
      </c>
    </row>
    <row r="15" spans="1:9" ht="24.9" customHeight="1">
      <c r="A15" s="32">
        <v>45717</v>
      </c>
      <c r="B15" s="27">
        <f>SUMIFS(SalesData[Total_Amount],SalesData[Date],"&gt;="&amp;A15,SalesData[Date],"&lt;"&amp;EDATE(A15,1))</f>
        <v>19899.379999999997</v>
      </c>
    </row>
    <row r="16" spans="1:9" ht="24.9" customHeight="1">
      <c r="A16" s="32">
        <v>45748</v>
      </c>
      <c r="B16" s="27">
        <f>SUMIFS(SalesData[Total_Amount],SalesData[Date],"&gt;="&amp;A16,SalesData[Date],"&lt;"&amp;EDATE(A16,1))</f>
        <v>6979.829999999999</v>
      </c>
    </row>
    <row r="18" spans="4:5" ht="24.9" customHeight="1">
      <c r="D18" s="26"/>
      <c r="E18" s="27"/>
    </row>
    <row r="19" spans="4:5" ht="24.9" customHeight="1">
      <c r="D19" s="26"/>
      <c r="E19" s="28"/>
    </row>
    <row r="33" spans="8:8" ht="24.9" customHeight="1">
      <c r="H33" s="30"/>
    </row>
    <row r="34" spans="8:8" ht="24.9" customHeight="1">
      <c r="H34" s="30"/>
    </row>
    <row r="56" spans="7:8" ht="24.9" customHeight="1">
      <c r="G56" s="45"/>
      <c r="H56" s="45"/>
    </row>
    <row r="58" spans="7:8" ht="24.9" customHeight="1">
      <c r="H58" s="27"/>
    </row>
    <row r="59" spans="7:8" ht="24.9" customHeight="1">
      <c r="H59" s="27"/>
    </row>
    <row r="60" spans="7:8" ht="24.9" customHeight="1">
      <c r="H60" s="27"/>
    </row>
    <row r="61" spans="7:8" ht="24.9" customHeight="1">
      <c r="H61" s="27"/>
    </row>
    <row r="62" spans="7:8" ht="24.9" customHeight="1">
      <c r="H62" s="27"/>
    </row>
    <row r="63" spans="7:8" ht="24.9" customHeight="1">
      <c r="H63" s="27"/>
    </row>
    <row r="64" spans="7:8" ht="24.9" customHeight="1">
      <c r="H64" s="27"/>
    </row>
    <row r="65" spans="7:8" ht="24.9" customHeight="1">
      <c r="H65" s="27"/>
    </row>
    <row r="66" spans="7:8" ht="24.9" customHeight="1">
      <c r="H66" s="27"/>
    </row>
    <row r="67" spans="7:8" ht="24.9" customHeight="1">
      <c r="H67" s="27"/>
    </row>
    <row r="70" spans="7:8" ht="24.9" customHeight="1">
      <c r="G70" s="45"/>
      <c r="H70" s="45"/>
    </row>
    <row r="72" spans="7:8" ht="24.9" customHeight="1">
      <c r="H72" s="27"/>
    </row>
    <row r="73" spans="7:8" ht="24.9" customHeight="1">
      <c r="H73" s="27"/>
    </row>
  </sheetData>
  <mergeCells count="3">
    <mergeCell ref="G56:H56"/>
    <mergeCell ref="G70:H70"/>
    <mergeCell ref="A1:I1"/>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2FB7-6A4D-4EE6-A1A6-E320A5A24C38}">
  <dimension ref="A1:B10"/>
  <sheetViews>
    <sheetView workbookViewId="0">
      <selection activeCell="A5" sqref="A5"/>
    </sheetView>
  </sheetViews>
  <sheetFormatPr defaultRowHeight="13.8"/>
  <cols>
    <col min="1" max="1" width="24.09765625" bestFit="1" customWidth="1"/>
    <col min="2" max="2" width="12.8984375" bestFit="1" customWidth="1"/>
  </cols>
  <sheetData>
    <row r="1" spans="1:2">
      <c r="A1" s="1" t="s">
        <v>441</v>
      </c>
      <c r="B1" s="1" t="s">
        <v>454</v>
      </c>
    </row>
    <row r="2" spans="1:2">
      <c r="A2" s="1" t="s">
        <v>439</v>
      </c>
      <c r="B2" s="1" t="s">
        <v>440</v>
      </c>
    </row>
    <row r="3" spans="1:2">
      <c r="A3" s="1" t="s">
        <v>86</v>
      </c>
      <c r="B3" s="27">
        <f>SUMIF(SalesData[Customer_ID],A3,SalesData[Total_Amount])</f>
        <v>15659.65</v>
      </c>
    </row>
    <row r="4" spans="1:2">
      <c r="A4" s="1"/>
      <c r="B4" s="1"/>
    </row>
    <row r="5" spans="1:2">
      <c r="A5" s="31" t="s">
        <v>443</v>
      </c>
      <c r="B5" s="31" t="s">
        <v>454</v>
      </c>
    </row>
    <row r="6" spans="1:2">
      <c r="A6" s="1" t="s">
        <v>444</v>
      </c>
      <c r="B6" s="1" t="s">
        <v>405</v>
      </c>
    </row>
    <row r="7" spans="1:2">
      <c r="A7" s="1" t="s">
        <v>62</v>
      </c>
      <c r="B7" s="30">
        <f>SUMIF(SalesData[Product_Name],A7,SalesData[Total_Amount])</f>
        <v>67499.25</v>
      </c>
    </row>
    <row r="8" spans="1:2">
      <c r="A8" s="1" t="s">
        <v>81</v>
      </c>
      <c r="B8" s="30">
        <f>SUMIF(SalesData[Product_Name],A8,SalesData[Total_Amount])</f>
        <v>67199.039999999994</v>
      </c>
    </row>
    <row r="9" spans="1:2">
      <c r="A9" s="1" t="s">
        <v>45</v>
      </c>
      <c r="B9" s="30">
        <f>SUMIF(SalesData[Product_Name],A9,SalesData[Total_Amount])</f>
        <v>15298.979999999994</v>
      </c>
    </row>
    <row r="10" spans="1:2">
      <c r="A10" s="1" t="s">
        <v>18</v>
      </c>
      <c r="B10" s="30">
        <f>SUMIF(SalesData[Product_Name],A10,SalesData[Total_Amount])</f>
        <v>21999.119999999999</v>
      </c>
    </row>
  </sheetData>
  <conditionalFormatting sqref="B3">
    <cfRule type="cellIs" dxfId="39" priority="1" operator="greaterThan">
      <formula>$H$18</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A342-54F1-4BFA-A2D8-E12607CB6BF1}">
  <dimension ref="A1:C12"/>
  <sheetViews>
    <sheetView workbookViewId="0">
      <selection activeCell="E8" sqref="E8"/>
    </sheetView>
  </sheetViews>
  <sheetFormatPr defaultRowHeight="13.8"/>
  <cols>
    <col min="1" max="1" width="11.69921875" bestFit="1" customWidth="1"/>
    <col min="2" max="2" width="14" bestFit="1" customWidth="1"/>
    <col min="3" max="3" width="12.59765625" bestFit="1" customWidth="1"/>
  </cols>
  <sheetData>
    <row r="1" spans="1:3">
      <c r="A1" s="61" t="s">
        <v>458</v>
      </c>
      <c r="B1" s="61"/>
      <c r="C1" s="61"/>
    </row>
    <row r="2" spans="1:3" ht="27.6">
      <c r="A2" s="77" t="s">
        <v>444</v>
      </c>
      <c r="B2" s="78" t="s">
        <v>459</v>
      </c>
      <c r="C2" s="78" t="s">
        <v>452</v>
      </c>
    </row>
    <row r="3" spans="1:3">
      <c r="A3" s="79" t="str" cm="1">
        <f t="array" ref="A3:A12">_xlfn.UNIQUE('Raw Data'!F2:F251)</f>
        <v>Monitor</v>
      </c>
      <c r="B3" s="80">
        <f>COUNTIF('Raw Data'!F:F,A3)</f>
        <v>26</v>
      </c>
      <c r="C3" s="80">
        <f>SUMIF('Raw Data'!F:F,A3,'Raw Data'!H:H)</f>
        <v>88</v>
      </c>
    </row>
    <row r="4" spans="1:3">
      <c r="A4" s="79" t="str">
        <v>Blender</v>
      </c>
      <c r="B4" s="80">
        <f>COUNTIF('Raw Data'!F:F,A4)</f>
        <v>29</v>
      </c>
      <c r="C4" s="80">
        <f>SUMIF('Raw Data'!F:F,A4,'Raw Data'!H:H)</f>
        <v>87</v>
      </c>
    </row>
    <row r="5" spans="1:3">
      <c r="A5" s="79" t="str">
        <v>Bookshelf</v>
      </c>
      <c r="B5" s="80">
        <f>COUNTIF('Raw Data'!F:F,A5)</f>
        <v>35</v>
      </c>
      <c r="C5" s="80">
        <f>SUMIF('Raw Data'!F:F,A5,'Raw Data'!H:H)</f>
        <v>102</v>
      </c>
    </row>
    <row r="6" spans="1:3">
      <c r="A6" s="79" t="str">
        <v>Headphones</v>
      </c>
      <c r="B6" s="80">
        <f>COUNTIF('Raw Data'!F:F,A6)</f>
        <v>16</v>
      </c>
      <c r="C6" s="80">
        <f>SUMIF('Raw Data'!F:F,A6,'Raw Data'!H:H)</f>
        <v>47</v>
      </c>
    </row>
    <row r="7" spans="1:3">
      <c r="A7" s="79" t="str">
        <v>Laptop</v>
      </c>
      <c r="B7" s="80">
        <f>COUNTIF('Raw Data'!F:F,A7)</f>
        <v>24</v>
      </c>
      <c r="C7" s="80">
        <f>SUMIF('Raw Data'!F:F,A7,'Raw Data'!H:H)</f>
        <v>75</v>
      </c>
    </row>
    <row r="8" spans="1:3">
      <c r="A8" s="79" t="str">
        <v>Smartphone</v>
      </c>
      <c r="B8" s="80">
        <f>COUNTIF('Raw Data'!F:F,A8)</f>
        <v>31</v>
      </c>
      <c r="C8" s="80">
        <f>SUMIF('Raw Data'!F:F,A8,'Raw Data'!H:H)</f>
        <v>96</v>
      </c>
    </row>
    <row r="9" spans="1:3">
      <c r="A9" s="79" t="str">
        <v>Desk</v>
      </c>
      <c r="B9" s="80">
        <f>COUNTIF('Raw Data'!F:F,A9)</f>
        <v>26</v>
      </c>
      <c r="C9" s="80">
        <f>SUMIF('Raw Data'!F:F,A9,'Raw Data'!H:H)</f>
        <v>78</v>
      </c>
    </row>
    <row r="10" spans="1:3">
      <c r="A10" s="79" t="str">
        <v>Coffee Maker</v>
      </c>
      <c r="B10" s="80">
        <f>COUNTIF('Raw Data'!F:F,A10)</f>
        <v>14</v>
      </c>
      <c r="C10" s="80">
        <f>SUMIF('Raw Data'!F:F,A10,'Raw Data'!H:H)</f>
        <v>39</v>
      </c>
    </row>
    <row r="11" spans="1:3">
      <c r="A11" s="79" t="str">
        <v>Keyboard</v>
      </c>
      <c r="B11" s="80">
        <f>COUNTIF('Raw Data'!F:F,A11)</f>
        <v>34</v>
      </c>
      <c r="C11" s="80">
        <f>SUMIF('Raw Data'!F:F,A11,'Raw Data'!H:H)</f>
        <v>89</v>
      </c>
    </row>
    <row r="12" spans="1:3">
      <c r="A12" s="79" t="str">
        <v>Office Chair</v>
      </c>
      <c r="B12" s="80">
        <f>COUNTIF('Raw Data'!F:F,A12)</f>
        <v>15</v>
      </c>
      <c r="C12" s="80">
        <f>SUMIF('Raw Data'!F:F,A12,'Raw Data'!H:H)</f>
        <v>52</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5D1B-0849-42C0-80CA-8C50524E69F0}">
  <dimension ref="A1:C11"/>
  <sheetViews>
    <sheetView workbookViewId="0">
      <selection activeCell="E9" sqref="E9"/>
    </sheetView>
  </sheetViews>
  <sheetFormatPr defaultColWidth="14.296875" defaultRowHeight="13.8"/>
  <sheetData>
    <row r="1" spans="1:3">
      <c r="A1" s="61" t="s">
        <v>470</v>
      </c>
      <c r="B1" s="61"/>
      <c r="C1" s="61"/>
    </row>
    <row r="2" spans="1:3">
      <c r="A2" s="81" t="s">
        <v>471</v>
      </c>
      <c r="B2" s="78" t="s">
        <v>472</v>
      </c>
      <c r="C2" s="78" t="s">
        <v>473</v>
      </c>
    </row>
    <row r="3" spans="1:3" ht="14.4">
      <c r="A3" s="82" t="s">
        <v>16</v>
      </c>
      <c r="B3" s="83" t="s">
        <v>66</v>
      </c>
      <c r="C3" s="79" t="str" cm="1">
        <f t="array" ref="C3">_xlfn._xlws.FILTER(A3:A11,COUNTIF(B3:B11,A3:A11)&gt;0,"No Matching Names")</f>
        <v>Kathleen Bennett</v>
      </c>
    </row>
    <row r="4" spans="1:3" ht="14.4">
      <c r="A4" s="83" t="s">
        <v>25</v>
      </c>
      <c r="B4" s="82" t="s">
        <v>69</v>
      </c>
      <c r="C4" s="79"/>
    </row>
    <row r="5" spans="1:3" ht="14.4">
      <c r="A5" s="82" t="s">
        <v>30</v>
      </c>
      <c r="B5" s="83" t="s">
        <v>39</v>
      </c>
      <c r="C5" s="79"/>
    </row>
    <row r="6" spans="1:3" ht="14.4">
      <c r="A6" s="83" t="s">
        <v>39</v>
      </c>
      <c r="B6" s="82" t="s">
        <v>73</v>
      </c>
      <c r="C6" s="79"/>
    </row>
    <row r="7" spans="1:3" ht="14.4">
      <c r="A7" s="82" t="s">
        <v>43</v>
      </c>
      <c r="B7" s="83" t="s">
        <v>76</v>
      </c>
      <c r="C7" s="79"/>
    </row>
    <row r="8" spans="1:3" ht="14.4">
      <c r="A8" s="83" t="s">
        <v>49</v>
      </c>
      <c r="B8" s="82" t="s">
        <v>79</v>
      </c>
      <c r="C8" s="79"/>
    </row>
    <row r="9" spans="1:3" ht="14.4">
      <c r="A9" s="82" t="s">
        <v>49</v>
      </c>
      <c r="B9" s="83" t="s">
        <v>84</v>
      </c>
      <c r="C9" s="79"/>
    </row>
    <row r="10" spans="1:3" ht="14.4">
      <c r="A10" s="83" t="s">
        <v>56</v>
      </c>
      <c r="B10" s="82" t="s">
        <v>87</v>
      </c>
      <c r="C10" s="79"/>
    </row>
    <row r="11" spans="1:3" ht="14.4">
      <c r="A11" s="82" t="s">
        <v>60</v>
      </c>
      <c r="B11" s="83" t="s">
        <v>90</v>
      </c>
      <c r="C11" s="79"/>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DE93-9BD8-4ECA-BFCE-B7C24B25272A}">
  <dimension ref="A1:B15"/>
  <sheetViews>
    <sheetView workbookViewId="0">
      <selection activeCell="B2" sqref="B2"/>
    </sheetView>
  </sheetViews>
  <sheetFormatPr defaultRowHeight="13.8"/>
  <cols>
    <col min="1" max="1" width="20.69921875" bestFit="1" customWidth="1"/>
    <col min="2" max="2" width="18.69921875" bestFit="1" customWidth="1"/>
  </cols>
  <sheetData>
    <row r="1" spans="1:2" ht="14.4">
      <c r="A1" s="85" t="s">
        <v>468</v>
      </c>
      <c r="B1" s="85"/>
    </row>
    <row r="2" spans="1:2" ht="19.8">
      <c r="A2" s="86" t="s">
        <v>456</v>
      </c>
      <c r="B2" s="86" t="s">
        <v>469</v>
      </c>
    </row>
    <row r="3" spans="1:2">
      <c r="A3" s="84" t="str">
        <f>'Raw Data'!D2</f>
        <v>Paul Baker</v>
      </c>
      <c r="B3" s="84" t="str">
        <f>UPPER(LEFT(A3,1)&amp;MID(A3,FIND(" ",A3)+1,1))</f>
        <v>PB</v>
      </c>
    </row>
    <row r="4" spans="1:2">
      <c r="A4" s="84" t="str">
        <f>'Raw Data'!D3</f>
        <v>Joseph Jackson</v>
      </c>
      <c r="B4" s="84" t="str">
        <f t="shared" ref="B4:B15" si="0">UPPER(LEFT(A4,1)&amp;MID(A4,FIND(" ",A4)+1,1))</f>
        <v>JJ</v>
      </c>
    </row>
    <row r="5" spans="1:2">
      <c r="A5" s="84" t="str">
        <f>'Raw Data'!D4</f>
        <v>Kevin Scott</v>
      </c>
      <c r="B5" s="84" t="str">
        <f t="shared" si="0"/>
        <v>KS</v>
      </c>
    </row>
    <row r="6" spans="1:2">
      <c r="A6" s="84" t="str">
        <f>'Raw Data'!D5</f>
        <v>Kathleen Bennett</v>
      </c>
      <c r="B6" s="84" t="str">
        <f t="shared" si="0"/>
        <v>KB</v>
      </c>
    </row>
    <row r="7" spans="1:2">
      <c r="A7" s="84" t="str">
        <f>'Raw Data'!D6</f>
        <v>Michael Brown</v>
      </c>
      <c r="B7" s="84" t="str">
        <f t="shared" si="0"/>
        <v>MB</v>
      </c>
    </row>
    <row r="8" spans="1:2">
      <c r="A8" s="84" t="str">
        <f>'Raw Data'!D7</f>
        <v>Dorothy Nelson</v>
      </c>
      <c r="B8" s="84" t="str">
        <f t="shared" si="0"/>
        <v>DN</v>
      </c>
    </row>
    <row r="9" spans="1:2">
      <c r="A9" s="84" t="str">
        <f>'Raw Data'!D8</f>
        <v>Dorothy Nelson</v>
      </c>
      <c r="B9" s="84" t="str">
        <f t="shared" si="0"/>
        <v>DN</v>
      </c>
    </row>
    <row r="10" spans="1:2">
      <c r="A10" s="84" t="str">
        <f>'Raw Data'!D9</f>
        <v>Charles Allen</v>
      </c>
      <c r="B10" s="84" t="str">
        <f t="shared" si="0"/>
        <v>CA</v>
      </c>
    </row>
    <row r="11" spans="1:2">
      <c r="A11" s="84" t="str">
        <f>'Raw Data'!D10</f>
        <v>Robert Thomas</v>
      </c>
      <c r="B11" s="84" t="str">
        <f t="shared" si="0"/>
        <v>RT</v>
      </c>
    </row>
    <row r="12" spans="1:2">
      <c r="A12" s="84" t="str">
        <f>'Raw Data'!D11</f>
        <v>Karen Hill</v>
      </c>
      <c r="B12" s="84" t="str">
        <f t="shared" si="0"/>
        <v>KH</v>
      </c>
    </row>
    <row r="13" spans="1:2">
      <c r="A13" s="84" t="str">
        <f>'Raw Data'!D12</f>
        <v>Susan Green</v>
      </c>
      <c r="B13" s="84" t="str">
        <f t="shared" si="0"/>
        <v>SG</v>
      </c>
    </row>
    <row r="14" spans="1:2">
      <c r="A14" s="84" t="str">
        <f>'Raw Data'!D13</f>
        <v>Kathleen Bennett</v>
      </c>
      <c r="B14" s="84" t="str">
        <f t="shared" si="0"/>
        <v>KB</v>
      </c>
    </row>
    <row r="15" spans="1:2">
      <c r="A15" s="84" t="str">
        <f>'Raw Data'!D14</f>
        <v>Peter Richardson</v>
      </c>
      <c r="B15" s="84" t="str">
        <f t="shared" si="0"/>
        <v>PR</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25F7-0135-4FBA-AE01-77B9028DFF0C}">
  <dimension ref="A1:J4"/>
  <sheetViews>
    <sheetView tabSelected="1" zoomScale="110" zoomScaleNormal="110" workbookViewId="0">
      <selection activeCell="C3" sqref="C3"/>
    </sheetView>
  </sheetViews>
  <sheetFormatPr defaultColWidth="20.69921875" defaultRowHeight="24.9" customHeight="1"/>
  <cols>
    <col min="1" max="16384" width="20.69921875" style="1"/>
  </cols>
  <sheetData>
    <row r="1" spans="1:10" ht="24.9" customHeight="1">
      <c r="A1" s="46" t="s">
        <v>453</v>
      </c>
      <c r="B1" s="46"/>
      <c r="C1" s="46"/>
      <c r="D1" s="46"/>
      <c r="E1" s="46"/>
      <c r="F1" s="46"/>
      <c r="G1" s="46"/>
      <c r="H1" s="46"/>
      <c r="I1" s="46"/>
      <c r="J1" s="41"/>
    </row>
    <row r="2" spans="1:10" ht="24.9" customHeight="1">
      <c r="B2" s="33" t="s">
        <v>405</v>
      </c>
      <c r="D2" s="33" t="s">
        <v>406</v>
      </c>
      <c r="F2" s="33" t="s">
        <v>452</v>
      </c>
      <c r="H2" s="33" t="s">
        <v>442</v>
      </c>
    </row>
    <row r="3" spans="1:10" ht="24.9" customHeight="1">
      <c r="B3" s="34">
        <f>SUM(SalesData[Total_Amount])</f>
        <v>229192.47000000032</v>
      </c>
      <c r="D3" s="35">
        <f>COUNTA(SalesData[Transaction_ID])</f>
        <v>250</v>
      </c>
      <c r="F3" s="35">
        <f>SUM(SalesData[Quantity])</f>
        <v>753</v>
      </c>
      <c r="H3" s="35">
        <f>COUNTA(_xlfn.UNIQUE(SalesData[Customer_ID]))</f>
        <v>50</v>
      </c>
    </row>
    <row r="4" spans="1:10" ht="24.9" customHeight="1">
      <c r="G4" s="1">
        <v>1</v>
      </c>
    </row>
  </sheetData>
  <mergeCells count="1">
    <mergeCell ref="A1:I1"/>
  </mergeCells>
  <pageMargins left="0.7" right="0.7" top="0.75" bottom="0.75" header="0.3" footer="0.3"/>
  <drawing r:id="rId1"/>
  <tableParts count="4">
    <tablePart r:id="rId2"/>
    <tablePart r:id="rId3"/>
    <tablePart r:id="rId4"/>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9D1-365C-4339-AFA3-5C2B1AB34340}">
  <dimension ref="A1:H33"/>
  <sheetViews>
    <sheetView topLeftCell="A7" workbookViewId="0">
      <selection activeCell="C28" sqref="C28"/>
    </sheetView>
  </sheetViews>
  <sheetFormatPr defaultRowHeight="13.8"/>
  <cols>
    <col min="1" max="8" width="25.796875" customWidth="1"/>
  </cols>
  <sheetData>
    <row r="1" spans="1:8" ht="22.8">
      <c r="A1" s="49" t="s">
        <v>474</v>
      </c>
      <c r="B1" s="50"/>
      <c r="C1" s="50"/>
      <c r="D1" s="50"/>
      <c r="E1" s="50"/>
      <c r="F1" s="50"/>
      <c r="G1" s="50"/>
      <c r="H1" s="50"/>
    </row>
    <row r="2" spans="1:8" ht="14.4">
      <c r="A2" s="51" t="s">
        <v>475</v>
      </c>
      <c r="B2" s="50"/>
      <c r="C2" s="50"/>
      <c r="D2" s="50"/>
      <c r="E2" s="50"/>
      <c r="F2" s="50"/>
      <c r="G2" s="50"/>
      <c r="H2" s="50"/>
    </row>
    <row r="3" spans="1:8">
      <c r="A3" s="42"/>
      <c r="B3" s="42"/>
      <c r="C3" s="42"/>
      <c r="D3" s="42"/>
      <c r="E3" s="42"/>
      <c r="F3" s="42"/>
      <c r="G3" s="42"/>
      <c r="H3" s="42"/>
    </row>
    <row r="4" spans="1:8">
      <c r="A4" s="52" t="s">
        <v>405</v>
      </c>
      <c r="B4" s="48"/>
      <c r="C4" s="52" t="s">
        <v>476</v>
      </c>
      <c r="D4" s="48"/>
      <c r="E4" s="52" t="s">
        <v>477</v>
      </c>
      <c r="F4" s="48"/>
      <c r="G4" s="42"/>
      <c r="H4" s="42"/>
    </row>
    <row r="5" spans="1:8" ht="17.399999999999999">
      <c r="A5" s="47" t="s">
        <v>478</v>
      </c>
      <c r="B5" s="48"/>
      <c r="C5" s="47" t="s">
        <v>479</v>
      </c>
      <c r="D5" s="48"/>
      <c r="E5" s="47" t="s">
        <v>480</v>
      </c>
      <c r="F5" s="48"/>
      <c r="G5" s="42"/>
      <c r="H5" s="42"/>
    </row>
    <row r="6" spans="1:8">
      <c r="A6" s="52" t="s">
        <v>481</v>
      </c>
      <c r="B6" s="48"/>
      <c r="C6" s="52" t="s">
        <v>482</v>
      </c>
      <c r="D6" s="48"/>
      <c r="E6" s="52" t="s">
        <v>483</v>
      </c>
      <c r="F6" s="48"/>
      <c r="G6" s="42"/>
      <c r="H6" s="42"/>
    </row>
    <row r="7" spans="1:8" ht="17.399999999999999">
      <c r="A7" s="47" t="s">
        <v>484</v>
      </c>
      <c r="B7" s="48"/>
      <c r="C7" s="47" t="s">
        <v>485</v>
      </c>
      <c r="D7" s="48"/>
      <c r="E7" s="47" t="s">
        <v>486</v>
      </c>
      <c r="F7" s="48"/>
      <c r="G7" s="42"/>
      <c r="H7" s="42"/>
    </row>
    <row r="8" spans="1:8">
      <c r="A8" s="42"/>
      <c r="B8" s="42"/>
      <c r="C8" s="42"/>
      <c r="D8" s="42"/>
      <c r="E8" s="42"/>
      <c r="F8" s="42"/>
      <c r="G8" s="42"/>
      <c r="H8" s="42"/>
    </row>
    <row r="9" spans="1:8" ht="16.8">
      <c r="A9" s="54" t="s">
        <v>487</v>
      </c>
      <c r="B9" s="50"/>
      <c r="C9" s="50"/>
      <c r="D9" s="50"/>
      <c r="E9" s="50"/>
      <c r="F9" s="50"/>
      <c r="G9" s="50"/>
      <c r="H9" s="50"/>
    </row>
    <row r="10" spans="1:8">
      <c r="A10" s="55" t="s">
        <v>488</v>
      </c>
      <c r="B10" s="50"/>
      <c r="C10" s="50"/>
      <c r="D10" s="50"/>
      <c r="E10" s="50"/>
      <c r="F10" s="50"/>
      <c r="G10" s="50"/>
      <c r="H10" s="50"/>
    </row>
    <row r="11" spans="1:8">
      <c r="A11" s="50"/>
      <c r="B11" s="50"/>
      <c r="C11" s="50"/>
      <c r="D11" s="50"/>
      <c r="E11" s="50"/>
      <c r="F11" s="50"/>
      <c r="G11" s="50"/>
      <c r="H11" s="50"/>
    </row>
    <row r="12" spans="1:8">
      <c r="A12" s="50"/>
      <c r="B12" s="50"/>
      <c r="C12" s="50"/>
      <c r="D12" s="50"/>
      <c r="E12" s="50"/>
      <c r="F12" s="50"/>
      <c r="G12" s="50"/>
      <c r="H12" s="50"/>
    </row>
    <row r="13" spans="1:8">
      <c r="A13" s="42"/>
      <c r="B13" s="42"/>
      <c r="C13" s="42"/>
      <c r="D13" s="42"/>
      <c r="E13" s="42"/>
      <c r="F13" s="42"/>
      <c r="G13" s="42"/>
      <c r="H13" s="42"/>
    </row>
    <row r="14" spans="1:8" ht="16.8">
      <c r="A14" s="54" t="s">
        <v>489</v>
      </c>
      <c r="B14" s="50"/>
      <c r="C14" s="50"/>
      <c r="D14" s="50"/>
      <c r="E14" s="50"/>
      <c r="F14" s="50"/>
      <c r="G14" s="50"/>
      <c r="H14" s="50"/>
    </row>
    <row r="15" spans="1:8">
      <c r="A15" s="43" t="s">
        <v>490</v>
      </c>
      <c r="B15" s="53" t="s">
        <v>491</v>
      </c>
      <c r="C15" s="50"/>
      <c r="D15" s="50"/>
      <c r="E15" s="50"/>
      <c r="F15" s="50"/>
      <c r="G15" s="50"/>
      <c r="H15" s="50"/>
    </row>
    <row r="16" spans="1:8">
      <c r="A16" s="43" t="s">
        <v>492</v>
      </c>
      <c r="B16" s="53" t="s">
        <v>493</v>
      </c>
      <c r="C16" s="50"/>
      <c r="D16" s="50"/>
      <c r="E16" s="50"/>
      <c r="F16" s="50"/>
      <c r="G16" s="50"/>
      <c r="H16" s="50"/>
    </row>
    <row r="17" spans="1:8">
      <c r="A17" s="43" t="s">
        <v>494</v>
      </c>
      <c r="B17" s="53" t="s">
        <v>495</v>
      </c>
      <c r="C17" s="50"/>
      <c r="D17" s="50"/>
      <c r="E17" s="50"/>
      <c r="F17" s="50"/>
      <c r="G17" s="50"/>
      <c r="H17" s="50"/>
    </row>
    <row r="18" spans="1:8">
      <c r="A18" s="43" t="s">
        <v>496</v>
      </c>
      <c r="B18" s="53" t="s">
        <v>497</v>
      </c>
      <c r="C18" s="50"/>
      <c r="D18" s="50"/>
      <c r="E18" s="50"/>
      <c r="F18" s="50"/>
      <c r="G18" s="50"/>
      <c r="H18" s="50"/>
    </row>
    <row r="19" spans="1:8">
      <c r="A19" s="43" t="s">
        <v>498</v>
      </c>
      <c r="B19" s="53" t="s">
        <v>499</v>
      </c>
      <c r="C19" s="50"/>
      <c r="D19" s="50"/>
      <c r="E19" s="50"/>
      <c r="F19" s="50"/>
      <c r="G19" s="50"/>
      <c r="H19" s="50"/>
    </row>
    <row r="20" spans="1:8">
      <c r="A20" s="42"/>
      <c r="B20" s="42"/>
      <c r="C20" s="42"/>
      <c r="D20" s="42"/>
      <c r="E20" s="42"/>
      <c r="F20" s="42"/>
      <c r="G20" s="42"/>
      <c r="H20" s="42"/>
    </row>
    <row r="21" spans="1:8">
      <c r="A21" s="42"/>
      <c r="B21" s="42"/>
      <c r="C21" s="42"/>
      <c r="D21" s="42"/>
      <c r="E21" s="42"/>
      <c r="F21" s="42"/>
      <c r="G21" s="42"/>
      <c r="H21" s="42"/>
    </row>
    <row r="22" spans="1:8" ht="16.8">
      <c r="A22" s="54" t="s">
        <v>500</v>
      </c>
      <c r="B22" s="50"/>
      <c r="C22" s="50"/>
      <c r="D22" s="50"/>
      <c r="E22" s="50"/>
      <c r="F22" s="50"/>
      <c r="G22" s="50"/>
      <c r="H22" s="50"/>
    </row>
    <row r="23" spans="1:8">
      <c r="A23" s="44" t="s">
        <v>501</v>
      </c>
      <c r="B23" s="56" t="s">
        <v>502</v>
      </c>
      <c r="C23" s="50"/>
      <c r="D23" s="50"/>
      <c r="E23" s="50"/>
      <c r="F23" s="50"/>
      <c r="G23" s="50"/>
      <c r="H23" s="50"/>
    </row>
    <row r="24" spans="1:8">
      <c r="A24" s="44" t="s">
        <v>503</v>
      </c>
      <c r="B24" s="56" t="s">
        <v>504</v>
      </c>
      <c r="C24" s="50"/>
      <c r="D24" s="50"/>
      <c r="E24" s="50"/>
      <c r="F24" s="50"/>
      <c r="G24" s="50"/>
      <c r="H24" s="50"/>
    </row>
    <row r="25" spans="1:8">
      <c r="A25" s="44" t="s">
        <v>505</v>
      </c>
      <c r="B25" s="56" t="s">
        <v>506</v>
      </c>
      <c r="C25" s="50"/>
      <c r="D25" s="50"/>
      <c r="E25" s="50"/>
      <c r="F25" s="50"/>
      <c r="G25" s="50"/>
      <c r="H25" s="50"/>
    </row>
    <row r="26" spans="1:8">
      <c r="A26" s="44" t="s">
        <v>507</v>
      </c>
      <c r="B26" s="56" t="s">
        <v>508</v>
      </c>
      <c r="C26" s="50"/>
      <c r="D26" s="50"/>
      <c r="E26" s="50"/>
      <c r="F26" s="50"/>
      <c r="G26" s="50"/>
      <c r="H26" s="50"/>
    </row>
    <row r="27" spans="1:8">
      <c r="A27" s="44" t="s">
        <v>509</v>
      </c>
      <c r="B27" s="56" t="s">
        <v>510</v>
      </c>
      <c r="C27" s="50"/>
      <c r="D27" s="50"/>
      <c r="E27" s="50"/>
      <c r="F27" s="50"/>
      <c r="G27" s="50"/>
      <c r="H27" s="50"/>
    </row>
    <row r="28" spans="1:8">
      <c r="A28" s="42"/>
      <c r="B28" s="42"/>
      <c r="C28" s="42"/>
      <c r="D28" s="42"/>
      <c r="E28" s="42"/>
      <c r="F28" s="42"/>
      <c r="G28" s="42"/>
      <c r="H28" s="42"/>
    </row>
    <row r="29" spans="1:8">
      <c r="A29" s="42"/>
      <c r="B29" s="42"/>
      <c r="C29" s="42"/>
      <c r="D29" s="42"/>
      <c r="E29" s="42"/>
      <c r="F29" s="42"/>
      <c r="G29" s="42"/>
      <c r="H29" s="42"/>
    </row>
    <row r="30" spans="1:8" ht="16.8">
      <c r="A30" s="54" t="s">
        <v>511</v>
      </c>
      <c r="B30" s="50"/>
      <c r="C30" s="50"/>
      <c r="D30" s="50"/>
      <c r="E30" s="50"/>
      <c r="F30" s="50"/>
      <c r="G30" s="50"/>
      <c r="H30" s="50"/>
    </row>
    <row r="31" spans="1:8">
      <c r="A31" s="55" t="s">
        <v>512</v>
      </c>
      <c r="B31" s="50"/>
      <c r="C31" s="50"/>
      <c r="D31" s="50"/>
      <c r="E31" s="50"/>
      <c r="F31" s="50"/>
      <c r="G31" s="50"/>
      <c r="H31" s="50"/>
    </row>
    <row r="32" spans="1:8">
      <c r="A32" s="50"/>
      <c r="B32" s="50"/>
      <c r="C32" s="50"/>
      <c r="D32" s="50"/>
      <c r="E32" s="50"/>
      <c r="F32" s="50"/>
      <c r="G32" s="50"/>
      <c r="H32" s="50"/>
    </row>
    <row r="33" spans="1:8">
      <c r="A33" s="50"/>
      <c r="B33" s="50"/>
      <c r="C33" s="50"/>
      <c r="D33" s="50"/>
      <c r="E33" s="50"/>
      <c r="F33" s="50"/>
      <c r="G33" s="50"/>
      <c r="H33" s="50"/>
    </row>
  </sheetData>
  <mergeCells count="30">
    <mergeCell ref="B26:H26"/>
    <mergeCell ref="B27:H27"/>
    <mergeCell ref="A30:H30"/>
    <mergeCell ref="A31:H33"/>
    <mergeCell ref="B18:H18"/>
    <mergeCell ref="B19:H19"/>
    <mergeCell ref="A22:H22"/>
    <mergeCell ref="B23:H23"/>
    <mergeCell ref="B24:H24"/>
    <mergeCell ref="B25:H25"/>
    <mergeCell ref="B17:H17"/>
    <mergeCell ref="A6:B6"/>
    <mergeCell ref="C6:D6"/>
    <mergeCell ref="E6:F6"/>
    <mergeCell ref="A7:B7"/>
    <mergeCell ref="C7:D7"/>
    <mergeCell ref="E7:F7"/>
    <mergeCell ref="A9:H9"/>
    <mergeCell ref="A10:H12"/>
    <mergeCell ref="A14:H14"/>
    <mergeCell ref="B15:H15"/>
    <mergeCell ref="B16:H16"/>
    <mergeCell ref="A5:B5"/>
    <mergeCell ref="C5:D5"/>
    <mergeCell ref="E5:F5"/>
    <mergeCell ref="A1:H1"/>
    <mergeCell ref="A2:H2"/>
    <mergeCell ref="A4:B4"/>
    <mergeCell ref="C4:D4"/>
    <mergeCell ref="E4:F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0E93-DBBC-4A25-A9DD-093EE289F240}">
  <dimension ref="A3:D4"/>
  <sheetViews>
    <sheetView workbookViewId="0">
      <selection activeCell="H10" sqref="H10"/>
    </sheetView>
  </sheetViews>
  <sheetFormatPr defaultRowHeight="13.8"/>
  <cols>
    <col min="1" max="1" width="20.296875" bestFit="1" customWidth="1"/>
    <col min="2" max="2" width="21.59765625" bestFit="1" customWidth="1"/>
    <col min="3" max="3" width="15.59765625" bestFit="1" customWidth="1"/>
    <col min="4" max="4" width="23" bestFit="1" customWidth="1"/>
  </cols>
  <sheetData>
    <row r="3" spans="1:4">
      <c r="A3" t="s">
        <v>446</v>
      </c>
      <c r="B3" t="s">
        <v>449</v>
      </c>
      <c r="C3" t="s">
        <v>447</v>
      </c>
      <c r="D3" t="s">
        <v>448</v>
      </c>
    </row>
    <row r="4" spans="1:4">
      <c r="A4" s="21">
        <v>229192.47000000032</v>
      </c>
      <c r="B4">
        <v>250</v>
      </c>
      <c r="C4" s="29">
        <v>753</v>
      </c>
      <c r="D4">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Task 1</vt:lpstr>
      <vt:lpstr>Task 2</vt:lpstr>
      <vt:lpstr>Task 3</vt:lpstr>
      <vt:lpstr>Task 4</vt:lpstr>
      <vt:lpstr>Task 5</vt:lpstr>
      <vt:lpstr>Task 6</vt:lpstr>
      <vt:lpstr>Task 7</vt:lpstr>
      <vt:lpstr>Task 8</vt:lpstr>
      <vt:lpstr>Task 9</vt:lpstr>
      <vt:lpstr>Task 10</vt:lpstr>
      <vt:lpstr>Task 11</vt:lpstr>
      <vt:lpstr>Dashboard Task 12</vt:lpstr>
      <vt:lpstr>Task 13</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 Thakar</dc:creator>
  <cp:lastModifiedBy>Joshi Om</cp:lastModifiedBy>
  <dcterms:created xsi:type="dcterms:W3CDTF">2026-09-13T09:42:08Z</dcterms:created>
  <dcterms:modified xsi:type="dcterms:W3CDTF">2026-10-29T03:43:41Z</dcterms:modified>
</cp:coreProperties>
</file>